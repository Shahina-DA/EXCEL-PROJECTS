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ownloads\"/>
    </mc:Choice>
  </mc:AlternateContent>
  <xr:revisionPtr revIDLastSave="0" documentId="8_{8DE46596-82D6-4057-B78B-C817890578F7}" xr6:coauthVersionLast="47" xr6:coauthVersionMax="47" xr10:uidLastSave="{00000000-0000-0000-0000-000000000000}"/>
  <bookViews>
    <workbookView xWindow="-120" yWindow="-120" windowWidth="20730" windowHeight="11040" xr2:uid="{8EA03C53-BD8D-481D-8F59-8E878439F0D2}"/>
  </bookViews>
  <sheets>
    <sheet name="SUM,AVG,AUTO SUM" sheetId="1" r:id="rId1"/>
    <sheet name="IF " sheetId="2" r:id="rId2"/>
    <sheet name="NESTED IF " sheetId="3" r:id="rId3"/>
    <sheet name="Vlookup" sheetId="5" r:id="rId4"/>
    <sheet name="Hlookup| " sheetId="6" r:id="rId5"/>
    <sheet name="Index Match" sheetId="7" r:id="rId6"/>
    <sheet name="Pivot table" sheetId="8" r:id="rId7"/>
    <sheet name="Sheet9" sheetId="9" r:id="rId8"/>
    <sheet name="Sheet10" sheetId="10" r:id="rId9"/>
  </sheets>
  <calcPr calcId="191029"/>
  <pivotCaches>
    <pivotCache cacheId="2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6" i="1" l="1"/>
  <c r="E20" i="1"/>
  <c r="E19" i="1"/>
  <c r="E26" i="1"/>
  <c r="E25" i="1"/>
  <c r="F22" i="1"/>
  <c r="F21" i="1"/>
  <c r="N2" i="1"/>
  <c r="F16" i="1"/>
  <c r="G17" i="1"/>
  <c r="E15" i="1"/>
  <c r="M4" i="7"/>
  <c r="M3" i="7"/>
  <c r="M2" i="7"/>
  <c r="K4" i="7"/>
  <c r="L4" i="7"/>
  <c r="L3" i="7"/>
  <c r="L2" i="7"/>
  <c r="K3" i="7"/>
  <c r="K2" i="7"/>
  <c r="G13" i="1"/>
  <c r="F12" i="1"/>
  <c r="N11" i="5"/>
  <c r="N10" i="5"/>
  <c r="N9" i="5"/>
  <c r="K11" i="5"/>
  <c r="K10" i="5"/>
  <c r="K9" i="5"/>
  <c r="P22" i="6"/>
  <c r="M22" i="6"/>
  <c r="P18" i="6"/>
  <c r="M18" i="6"/>
  <c r="K4" i="5"/>
  <c r="N4" i="5"/>
  <c r="N3" i="5"/>
  <c r="N2" i="5"/>
  <c r="K3" i="5"/>
  <c r="K2" i="5"/>
  <c r="I3" i="2"/>
  <c r="I4" i="2"/>
  <c r="I5" i="2"/>
  <c r="I6" i="2"/>
  <c r="I7" i="2"/>
  <c r="I8" i="2"/>
  <c r="I9" i="2"/>
  <c r="I2" i="2"/>
  <c r="J3" i="3"/>
  <c r="J4" i="3"/>
  <c r="J5" i="3"/>
  <c r="J6" i="3"/>
  <c r="J7" i="3"/>
  <c r="J8" i="3"/>
  <c r="J9" i="3"/>
  <c r="J2" i="3"/>
  <c r="E11" i="1"/>
  <c r="I3" i="1"/>
  <c r="I4" i="1"/>
  <c r="I5" i="1"/>
  <c r="I6" i="1"/>
  <c r="I7" i="1"/>
  <c r="I8" i="1"/>
  <c r="I9" i="1"/>
  <c r="I2" i="1"/>
  <c r="H9" i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<sst xmlns="http://schemas.openxmlformats.org/spreadsheetml/2006/main" count="394" uniqueCount="48">
  <si>
    <t>Emp ID</t>
  </si>
  <si>
    <t>Employee</t>
  </si>
  <si>
    <t>Department</t>
  </si>
  <si>
    <t>City</t>
  </si>
  <si>
    <t>Sales</t>
  </si>
  <si>
    <t>Target</t>
  </si>
  <si>
    <t>Marks</t>
  </si>
  <si>
    <t>E101</t>
  </si>
  <si>
    <t>Rahul</t>
  </si>
  <si>
    <t>Ahmedabad</t>
  </si>
  <si>
    <t>E102</t>
  </si>
  <si>
    <t>PRIYA</t>
  </si>
  <si>
    <t>HR</t>
  </si>
  <si>
    <t>Mumbai</t>
  </si>
  <si>
    <t>E103</t>
  </si>
  <si>
    <t>amit</t>
  </si>
  <si>
    <t>Delhi</t>
  </si>
  <si>
    <t>E104</t>
  </si>
  <si>
    <t>Neha</t>
  </si>
  <si>
    <t>IT</t>
  </si>
  <si>
    <t>Pune</t>
  </si>
  <si>
    <t>E105</t>
  </si>
  <si>
    <t>RAVI</t>
  </si>
  <si>
    <t>E106</t>
  </si>
  <si>
    <t>pooja</t>
  </si>
  <si>
    <t>E107</t>
  </si>
  <si>
    <t>Karan</t>
  </si>
  <si>
    <t>E108</t>
  </si>
  <si>
    <t>sneha</t>
  </si>
  <si>
    <t>Clean name</t>
  </si>
  <si>
    <t>Total sales</t>
  </si>
  <si>
    <t>IF Statement</t>
  </si>
  <si>
    <t>Nested IF</t>
  </si>
  <si>
    <t>Total Target</t>
  </si>
  <si>
    <t xml:space="preserve">Total Marks </t>
  </si>
  <si>
    <t>(blank)</t>
  </si>
  <si>
    <t>Grand Total</t>
  </si>
  <si>
    <t>Sum of Sales</t>
  </si>
  <si>
    <t>CITY</t>
  </si>
  <si>
    <t>Avg Sales</t>
  </si>
  <si>
    <t>Avg Marks</t>
  </si>
  <si>
    <t>Avg Target</t>
  </si>
  <si>
    <t>Highest Sales</t>
  </si>
  <si>
    <t>Lowest Sales</t>
  </si>
  <si>
    <t>Highest Target</t>
  </si>
  <si>
    <t>Lowest Target</t>
  </si>
  <si>
    <t xml:space="preserve">Highest Sales Employee </t>
  </si>
  <si>
    <t>Lowest Sales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</si>
</sst>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[Shahina-Excel-projects.xlsx]Sheet10!PivotTable2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Sheet10!$A$4:$A$8</c:f>
              <c:strCache>
                <c:ptCount val="4"/>
                <c:pt idx="0">
                  <c:v>Ahmedabad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Sheet10!$B$4:$B$8</c:f>
              <c:numCache>
                <c:formatCode>General</c:formatCode>
                <c:ptCount val="4"/>
                <c:pt idx="0">
                  <c:v>93000</c:v>
                </c:pt>
                <c:pt idx="1">
                  <c:v>116000</c:v>
                </c:pt>
                <c:pt idx="2">
                  <c:v>104000</c:v>
                </c:pt>
                <c:pt idx="3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F-49BD-9BD8-361EF3CBB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809852752"/>
        <c:axId val="809849840"/>
        <c:axId val="0"/>
      </c:bar3DChart>
      <c:catAx>
        <c:axId val="80985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49840"/>
        <c:crosses val="autoZero"/>
        <c:auto val="1"/>
        <c:lblAlgn val="ctr"/>
        <c:lblOffset val="100"/>
        <c:noMultiLvlLbl val="0"/>
      </c:catAx>
      <c:valAx>
        <c:axId val="8098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[Shahina-Excel-projects.xlsx]Sheet10!PivotTable2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Sheet10!$A$4:$A$8</c:f>
              <c:strCache>
                <c:ptCount val="4"/>
                <c:pt idx="0">
                  <c:v>Ahmedabad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Sheet10!$B$4:$B$8</c:f>
              <c:numCache>
                <c:formatCode>General</c:formatCode>
                <c:ptCount val="4"/>
                <c:pt idx="0">
                  <c:v>93000</c:v>
                </c:pt>
                <c:pt idx="1">
                  <c:v>116000</c:v>
                </c:pt>
                <c:pt idx="2">
                  <c:v>104000</c:v>
                </c:pt>
                <c:pt idx="3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2-4B0C-B6A8-7460653B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809852752"/>
        <c:axId val="809849840"/>
        <c:axId val="0"/>
      </c:bar3DChart>
      <c:catAx>
        <c:axId val="80985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49840"/>
        <c:crosses val="autoZero"/>
        <c:auto val="1"/>
        <c:lblAlgn val="ctr"/>
        <c:lblOffset val="100"/>
        <c:noMultiLvlLbl val="0"/>
      </c:catAx>
      <c:valAx>
        <c:axId val="8098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[Shahina-Excel-projects.xlsx]Sheet10!PivotTable2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Sheet10!$A$4:$A$8</c:f>
              <c:strCache>
                <c:ptCount val="4"/>
                <c:pt idx="0">
                  <c:v>Ahmedabad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Sheet10!$B$4:$B$8</c:f>
              <c:numCache>
                <c:formatCode>General</c:formatCode>
                <c:ptCount val="4"/>
                <c:pt idx="0">
                  <c:v>93000</c:v>
                </c:pt>
                <c:pt idx="1">
                  <c:v>116000</c:v>
                </c:pt>
                <c:pt idx="2">
                  <c:v>104000</c:v>
                </c:pt>
                <c:pt idx="3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C-4E9F-831B-C8F11A0C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9852752"/>
        <c:axId val="809849840"/>
      </c:barChart>
      <c:catAx>
        <c:axId val="80985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49840"/>
        <c:crosses val="autoZero"/>
        <c:auto val="1"/>
        <c:lblAlgn val="ctr"/>
        <c:lblOffset val="100"/>
        <c:noMultiLvlLbl val="0"/>
      </c:catAx>
      <c:valAx>
        <c:axId val="8098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552449</xdr:colOff>
      <xdr:row>7</xdr:row>
      <xdr:rowOff>104775</xdr:rowOff>
    </xdr:from>
    <xdr:to>
      <xdr:col>18</xdr:col>
      <xdr:colOff>523874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F0DCC-A38C-4612-AC57-8CF16ADA5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33</xdr:row>
      <xdr:rowOff>190499</xdr:rowOff>
    </xdr:from>
    <xdr:to>
      <xdr:col>18</xdr:col>
      <xdr:colOff>38100</xdr:colOff>
      <xdr:row>49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72DF1-AE2F-4937-811F-328EE5CBC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9</xdr:row>
      <xdr:rowOff>128587</xdr:rowOff>
    </xdr:from>
    <xdr:to>
      <xdr:col>7</xdr:col>
      <xdr:colOff>257175</xdr:colOff>
      <xdr:row>24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BD69E-915F-FE90-C992-68D16EFCF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42.790654861114" createdVersion="8" refreshedVersion="8" minRefreshableVersion="3" recordCount="9" xr:uid="{0AFC4DB1-302D-487E-B3B7-E4BEBC1D1916}">
  <cacheSource type="worksheet">
    <worksheetSource ref="A1:G11" sheet="Pivot table"/>
  </cacheSource>
  <cacheFields count="7">
    <cacheField name="Emp ID" numFmtId="0">
      <sharedItems containsBlank="1"/>
    </cacheField>
    <cacheField name="Employee" numFmtId="0">
      <sharedItems containsBlank="1"/>
    </cacheField>
    <cacheField name="Department" numFmtId="0">
      <sharedItems containsBlank="1" count="4">
        <s v="Sales"/>
        <s v="HR"/>
        <s v="IT"/>
        <m/>
      </sharedItems>
    </cacheField>
    <cacheField name="City" numFmtId="0">
      <sharedItems containsBlank="1"/>
    </cacheField>
    <cacheField name="Sales" numFmtId="0">
      <sharedItems containsString="0" containsBlank="1" containsNumber="1" containsInteger="1" minValue="38000" maxValue="82000"/>
    </cacheField>
    <cacheField name="Target" numFmtId="0">
      <sharedItems containsString="0" containsBlank="1" containsNumber="1" containsInteger="1" minValue="40000" maxValue="75000"/>
    </cacheField>
    <cacheField name="Marks" numFmtId="0">
      <sharedItems containsString="0" containsBlank="1" containsNumber="1" containsInteger="1" minValue="35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42.791456481478" createdVersion="8" refreshedVersion="8" minRefreshableVersion="3" recordCount="8" xr:uid="{42A90DED-66A2-4169-9CF2-D7F1A9FA8A60}">
  <cacheSource type="worksheet">
    <worksheetSource ref="A1:G9" sheet="Pivot table"/>
  </cacheSource>
  <cacheFields count="7">
    <cacheField name="Emp ID" numFmtId="0">
      <sharedItems/>
    </cacheField>
    <cacheField name="Employee" numFmtId="0">
      <sharedItems/>
    </cacheField>
    <cacheField name="Department" numFmtId="0">
      <sharedItems/>
    </cacheField>
    <cacheField name="City" numFmtId="0">
      <sharedItems count="4">
        <s v="Ahmedabad"/>
        <s v="Mumbai"/>
        <s v="Delhi"/>
        <s v="Pune"/>
      </sharedItems>
    </cacheField>
    <cacheField name="Sales" numFmtId="0">
      <sharedItems containsSemiMixedTypes="0" containsString="0" containsNumber="1" containsInteger="1" minValue="38000" maxValue="82000"/>
    </cacheField>
    <cacheField name="Target" numFmtId="0">
      <sharedItems containsSemiMixedTypes="0" containsString="0" containsNumber="1" containsInteger="1" minValue="40000" maxValue="75000"/>
    </cacheField>
    <cacheField name="Marks" numFmtId="0">
      <sharedItems containsSemiMixedTypes="0" containsString="0" containsNumber="1" containsInteger="1" minValue="35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E101"/>
    <s v="Rahul"/>
    <x v="0"/>
    <s v="Ahmedabad"/>
    <n v="55000"/>
    <n v="50000"/>
    <n v="78"/>
  </r>
  <r>
    <s v="E102"/>
    <s v="PRIYA"/>
    <x v="1"/>
    <s v="Mumbai"/>
    <n v="42000"/>
    <n v="45000"/>
    <n v="88"/>
  </r>
  <r>
    <s v="E103"/>
    <s v="amit"/>
    <x v="0"/>
    <s v="Delhi"/>
    <n v="68000"/>
    <n v="60000"/>
    <n v="65"/>
  </r>
  <r>
    <s v="E104"/>
    <s v="Neha"/>
    <x v="2"/>
    <s v="Pune"/>
    <n v="75000"/>
    <n v="70000"/>
    <n v="92"/>
  </r>
  <r>
    <s v="E105"/>
    <s v="RAVI"/>
    <x v="1"/>
    <s v="Ahmedabad"/>
    <n v="38000"/>
    <n v="40000"/>
    <n v="45"/>
  </r>
  <r>
    <s v="E106"/>
    <s v="pooja"/>
    <x v="0"/>
    <s v="Mumbai"/>
    <n v="62000"/>
    <n v="60000"/>
    <n v="35"/>
  </r>
  <r>
    <s v="E107"/>
    <s v="Karan"/>
    <x v="2"/>
    <s v="Delhi"/>
    <n v="48000"/>
    <n v="55000"/>
    <n v="81"/>
  </r>
  <r>
    <s v="E108"/>
    <s v="sneha"/>
    <x v="0"/>
    <s v="Pune"/>
    <n v="82000"/>
    <n v="75000"/>
    <n v="95"/>
  </r>
  <r>
    <m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101"/>
    <s v="Rahul"/>
    <s v="Sales"/>
    <x v="0"/>
    <n v="55000"/>
    <n v="50000"/>
    <n v="78"/>
  </r>
  <r>
    <s v="E102"/>
    <s v="PRIYA"/>
    <s v="HR"/>
    <x v="1"/>
    <n v="42000"/>
    <n v="45000"/>
    <n v="88"/>
  </r>
  <r>
    <s v="E103"/>
    <s v="amit"/>
    <s v="Sales"/>
    <x v="2"/>
    <n v="68000"/>
    <n v="60000"/>
    <n v="65"/>
  </r>
  <r>
    <s v="E104"/>
    <s v="Neha"/>
    <s v="IT"/>
    <x v="3"/>
    <n v="75000"/>
    <n v="70000"/>
    <n v="92"/>
  </r>
  <r>
    <s v="E105"/>
    <s v="RAVI"/>
    <s v="HR"/>
    <x v="0"/>
    <n v="38000"/>
    <n v="40000"/>
    <n v="45"/>
  </r>
  <r>
    <s v="E106"/>
    <s v="pooja"/>
    <s v="Sales"/>
    <x v="1"/>
    <n v="62000"/>
    <n v="60000"/>
    <n v="35"/>
  </r>
  <r>
    <s v="E107"/>
    <s v="Karan"/>
    <s v="IT"/>
    <x v="2"/>
    <n v="48000"/>
    <n v="55000"/>
    <n v="81"/>
  </r>
  <r>
    <s v="E108"/>
    <s v="sneha"/>
    <s v="Sales"/>
    <x v="3"/>
    <n v="82000"/>
    <n v="75000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73A1-BA79-47AE-A547-B3B0783273BE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J27:K32" firstHeaderRow="1" firstDataRow="1" firstDataCol="1"/>
  <pivotFields count="7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C8C04-0822-4C91-8605-69D93F1FFFD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J2:K7" firstHeaderRow="1" firstDataRow="1" firstDataCol="1"/>
  <pivotFields count="7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0E0DC-47B1-466D-B7B7-6968D97D49B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8" firstHeaderRow="1" firstDataRow="1" firstDataCol="1"/>
  <pivotFields count="7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DDFB9-5343-4793-B8ED-44ABC6B43B2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ITY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B30B-CCC3-4665-B407-6C216C2197D8}">
  <dimension ref="A1:N26"/>
  <sheetViews>
    <sheetView tabSelected="1" zoomScale="87" zoomScaleNormal="87" workbookViewId="0">
      <selection activeCell="G25" sqref="G25"/>
    </sheetView>
  </sheetViews>
  <sheetFormatPr defaultRowHeight="15" x14ac:dyDescent="0.25"/>
  <cols>
    <col min="1" max="1" width="12.140625" customWidth="1"/>
    <col min="2" max="2" width="10.7109375" customWidth="1"/>
    <col min="3" max="3" width="12.5703125" customWidth="1"/>
    <col min="8" max="8" width="10.5703125" customWidth="1"/>
    <col min="12" max="12" width="12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29</v>
      </c>
      <c r="K1" s="3"/>
      <c r="L1" s="5"/>
      <c r="M1" s="5"/>
    </row>
    <row r="2" spans="1:14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H2" t="str">
        <f>UPPER(TRIM(B2))</f>
        <v>RAHUL</v>
      </c>
      <c r="I2" t="str">
        <f>LOWER(TRIM(B2))</f>
        <v>rahul</v>
      </c>
      <c r="N2" t="str">
        <f>IF(AND(E2&gt;=F2,G2&gt;60),"Qualified","Not Qualified")</f>
        <v>Qualified</v>
      </c>
    </row>
    <row r="3" spans="1:14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H3" t="str">
        <f t="shared" ref="H3:H8" si="0">UPPER(TRIM(B3))</f>
        <v>PRIYA</v>
      </c>
      <c r="I3" t="str">
        <f t="shared" ref="I3:I9" si="1">LOWER(TRIM(B3))</f>
        <v>priya</v>
      </c>
    </row>
    <row r="4" spans="1:14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H4" t="str">
        <f t="shared" si="0"/>
        <v>AMIT</v>
      </c>
      <c r="I4" t="str">
        <f t="shared" si="1"/>
        <v>amit</v>
      </c>
    </row>
    <row r="5" spans="1:14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  <c r="H5" t="str">
        <f t="shared" si="0"/>
        <v>NEHA</v>
      </c>
      <c r="I5" t="str">
        <f t="shared" si="1"/>
        <v>neha</v>
      </c>
    </row>
    <row r="6" spans="1:14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  <c r="H6" t="str">
        <f t="shared" si="0"/>
        <v>RAVI</v>
      </c>
      <c r="I6" t="str">
        <f t="shared" si="1"/>
        <v>ravi</v>
      </c>
    </row>
    <row r="7" spans="1:14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  <c r="H7" t="str">
        <f t="shared" si="0"/>
        <v>POOJA</v>
      </c>
      <c r="I7" t="str">
        <f t="shared" si="1"/>
        <v>pooja</v>
      </c>
    </row>
    <row r="8" spans="1:14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  <c r="H8" t="str">
        <f t="shared" si="0"/>
        <v>KARAN</v>
      </c>
      <c r="I8" t="str">
        <f t="shared" si="1"/>
        <v>karan</v>
      </c>
    </row>
    <row r="9" spans="1:14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  <c r="H9" t="str">
        <f>UPPER(TRIM(B9))</f>
        <v>SNEHA</v>
      </c>
      <c r="I9" t="str">
        <f t="shared" si="1"/>
        <v>sneha</v>
      </c>
    </row>
    <row r="11" spans="1:14" x14ac:dyDescent="0.25">
      <c r="A11" s="11" t="s">
        <v>30</v>
      </c>
      <c r="E11">
        <f>SUM(E2:E10)</f>
        <v>470000</v>
      </c>
    </row>
    <row r="12" spans="1:14" x14ac:dyDescent="0.25">
      <c r="A12" s="11" t="s">
        <v>33</v>
      </c>
      <c r="F12">
        <f>SUM(F2:F9)</f>
        <v>455000</v>
      </c>
    </row>
    <row r="13" spans="1:14" x14ac:dyDescent="0.25">
      <c r="A13" s="11" t="s">
        <v>34</v>
      </c>
      <c r="G13">
        <f>SUM(G2:G9)</f>
        <v>579</v>
      </c>
    </row>
    <row r="15" spans="1:14" x14ac:dyDescent="0.25">
      <c r="A15" s="6" t="s">
        <v>39</v>
      </c>
      <c r="E15">
        <f>AVERAGE(E2:E9)</f>
        <v>58750</v>
      </c>
    </row>
    <row r="16" spans="1:14" x14ac:dyDescent="0.25">
      <c r="A16" s="11" t="s">
        <v>41</v>
      </c>
      <c r="F16">
        <f>AVERAGE(F2:F9)</f>
        <v>56875</v>
      </c>
    </row>
    <row r="17" spans="1:7" x14ac:dyDescent="0.25">
      <c r="A17" s="11" t="s">
        <v>40</v>
      </c>
      <c r="G17">
        <f>AVERAGE(G2:G9)</f>
        <v>72.375</v>
      </c>
    </row>
    <row r="19" spans="1:7" x14ac:dyDescent="0.25">
      <c r="A19" s="5" t="s">
        <v>42</v>
      </c>
      <c r="E19">
        <f>MAX(E2:E9)</f>
        <v>82000</v>
      </c>
    </row>
    <row r="20" spans="1:7" x14ac:dyDescent="0.25">
      <c r="A20" s="5" t="s">
        <v>43</v>
      </c>
      <c r="E20">
        <f>MIN(E2:E9)</f>
        <v>38000</v>
      </c>
    </row>
    <row r="21" spans="1:7" x14ac:dyDescent="0.25">
      <c r="F21">
        <f>MAX(F2:F9)</f>
        <v>75000</v>
      </c>
    </row>
    <row r="22" spans="1:7" x14ac:dyDescent="0.25">
      <c r="A22" s="5" t="s">
        <v>44</v>
      </c>
      <c r="F22">
        <f>MIN(F2:F9)</f>
        <v>40000</v>
      </c>
    </row>
    <row r="23" spans="1:7" x14ac:dyDescent="0.25">
      <c r="A23" s="5" t="s">
        <v>45</v>
      </c>
    </row>
    <row r="25" spans="1:7" x14ac:dyDescent="0.25">
      <c r="A25" s="5" t="s">
        <v>46</v>
      </c>
      <c r="E25" t="str">
        <f>INDEX(B2:B9,MATCH(MAX(E2:E9),E2:E9,0))</f>
        <v>sneha</v>
      </c>
    </row>
    <row r="26" spans="1:7" x14ac:dyDescent="0.25">
      <c r="A26" s="5" t="s">
        <v>47</v>
      </c>
      <c r="E26" t="str">
        <f>INDEX(B2:B9,MATCH(MIN(E2:E9),E2:E9,0))</f>
        <v>RAVI</v>
      </c>
      <c r="F26" t="str">
        <f>INDEX(B2:B9,MATCH(MIN(E2:E9),E2:E9,0))</f>
        <v>RAVI</v>
      </c>
    </row>
  </sheetData>
  <pageMargins left="0.7" right="0.7" top="0.75" bottom="0.75" header="0.3" footer="0.3"/>
  <pageSetup paperSize="145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75FC-1F1C-4176-896C-C6858C5FE3E3}">
  <dimension ref="A1:I9"/>
  <sheetViews>
    <sheetView workbookViewId="0">
      <selection activeCell="I13" sqref="I13"/>
    </sheetView>
  </sheetViews>
  <sheetFormatPr defaultRowHeight="15" x14ac:dyDescent="0.25"/>
  <cols>
    <col min="1" max="1" width="9.42578125" customWidth="1"/>
    <col min="2" max="2" width="11.140625" customWidth="1"/>
    <col min="3" max="3" width="14" customWidth="1"/>
    <col min="4" max="4" width="12.140625" customWidth="1"/>
    <col min="5" max="5" width="10.42578125" customWidth="1"/>
    <col min="6" max="6" width="11" customWidth="1"/>
    <col min="7" max="7" width="9.85546875" customWidth="1"/>
    <col min="9" max="9" width="1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I1" s="5" t="s">
        <v>31</v>
      </c>
    </row>
    <row r="2" spans="1:9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I2" t="str">
        <f>IF(E2&gt;=F2,"Archived","Not archived")</f>
        <v>Archived</v>
      </c>
    </row>
    <row r="3" spans="1:9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I3" t="str">
        <f t="shared" ref="I3:I9" si="0">IF(E3&gt;=F3,"Archived","Not archived")</f>
        <v>Not archived</v>
      </c>
    </row>
    <row r="4" spans="1:9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I4" t="str">
        <f t="shared" si="0"/>
        <v>Archived</v>
      </c>
    </row>
    <row r="5" spans="1:9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  <c r="I5" t="str">
        <f t="shared" si="0"/>
        <v>Archived</v>
      </c>
    </row>
    <row r="6" spans="1:9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  <c r="I6" t="str">
        <f t="shared" si="0"/>
        <v>Not archived</v>
      </c>
    </row>
    <row r="7" spans="1:9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  <c r="I7" t="str">
        <f t="shared" si="0"/>
        <v>Archived</v>
      </c>
    </row>
    <row r="8" spans="1:9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  <c r="I8" t="str">
        <f t="shared" si="0"/>
        <v>Not archived</v>
      </c>
    </row>
    <row r="9" spans="1:9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  <c r="I9" t="str">
        <f t="shared" si="0"/>
        <v>Archived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57DE-4F65-4C93-AA78-FFBD4D74267E}">
  <dimension ref="A1:J9"/>
  <sheetViews>
    <sheetView workbookViewId="0">
      <selection activeCell="I15" sqref="I15"/>
    </sheetView>
  </sheetViews>
  <sheetFormatPr defaultRowHeight="15" x14ac:dyDescent="0.25"/>
  <cols>
    <col min="2" max="2" width="11.42578125" customWidth="1"/>
    <col min="3" max="3" width="11.5703125" customWidth="1"/>
    <col min="4" max="4" width="12.5703125" customWidth="1"/>
    <col min="5" max="5" width="10.42578125" customWidth="1"/>
    <col min="6" max="6" width="10.5703125" customWidth="1"/>
    <col min="7" max="7" width="1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J1" s="5" t="s">
        <v>32</v>
      </c>
    </row>
    <row r="2" spans="1:10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J2" t="str">
        <f>IF(G2&gt;=80,"Excellent",IF(G2&gt;=60,"Good",IF(G2&gt;=40,"Poor","Avg")))</f>
        <v>Good</v>
      </c>
    </row>
    <row r="3" spans="1:10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J3" t="str">
        <f t="shared" ref="J3:J9" si="0">IF(G3&gt;=80,"Excellent",IF(G3&gt;=60,"Good",IF(G3&gt;=40,"Poor","Avg")))</f>
        <v>Excellent</v>
      </c>
    </row>
    <row r="4" spans="1:10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J4" t="str">
        <f t="shared" si="0"/>
        <v>Good</v>
      </c>
    </row>
    <row r="5" spans="1:10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  <c r="J5" t="str">
        <f t="shared" si="0"/>
        <v>Excellent</v>
      </c>
    </row>
    <row r="6" spans="1:10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  <c r="J6" t="str">
        <f t="shared" si="0"/>
        <v>Poor</v>
      </c>
    </row>
    <row r="7" spans="1:10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  <c r="J7" t="str">
        <f t="shared" si="0"/>
        <v>Avg</v>
      </c>
    </row>
    <row r="8" spans="1:10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  <c r="J8" t="str">
        <f t="shared" si="0"/>
        <v>Excellent</v>
      </c>
    </row>
    <row r="9" spans="1:10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  <c r="J9" t="str">
        <f t="shared" si="0"/>
        <v>Excellent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8A77-005B-4220-990F-097F471E2B79}">
  <dimension ref="A1:N11"/>
  <sheetViews>
    <sheetView workbookViewId="0">
      <selection activeCell="N12" sqref="N12"/>
    </sheetView>
  </sheetViews>
  <sheetFormatPr defaultRowHeight="15" x14ac:dyDescent="0.25"/>
  <cols>
    <col min="2" max="2" width="11.140625" customWidth="1"/>
    <col min="3" max="3" width="12.140625" customWidth="1"/>
    <col min="4" max="4" width="10.85546875" customWidth="1"/>
    <col min="5" max="5" width="11.28515625" customWidth="1"/>
    <col min="6" max="6" width="10.140625" customWidth="1"/>
    <col min="7" max="7" width="9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J1" s="1" t="s">
        <v>0</v>
      </c>
      <c r="K1" s="3" t="s">
        <v>4</v>
      </c>
      <c r="M1" s="1" t="s">
        <v>0</v>
      </c>
      <c r="N1" s="3" t="s">
        <v>5</v>
      </c>
    </row>
    <row r="2" spans="1:14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J2" s="4" t="s">
        <v>17</v>
      </c>
      <c r="K2">
        <f>VLOOKUP("E104",A2:G9,5,FALSE)</f>
        <v>75000</v>
      </c>
      <c r="M2" s="4" t="s">
        <v>23</v>
      </c>
      <c r="N2">
        <f>VLOOKUP(M2,A2:G9,6,FALSE)</f>
        <v>60000</v>
      </c>
    </row>
    <row r="3" spans="1:14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J3" s="4" t="s">
        <v>27</v>
      </c>
      <c r="K3">
        <f>VLOOKUP("E108",A2:G9,5,FALSE)</f>
        <v>82000</v>
      </c>
      <c r="M3" s="4" t="s">
        <v>21</v>
      </c>
      <c r="N3">
        <f>VLOOKUP(M3,A2:G9,6,FALSE)</f>
        <v>40000</v>
      </c>
    </row>
    <row r="4" spans="1:14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J4" s="4" t="s">
        <v>25</v>
      </c>
      <c r="K4">
        <f>VLOOKUP(J4,A2:G9,5,FALSE)</f>
        <v>48000</v>
      </c>
      <c r="M4" s="4" t="s">
        <v>10</v>
      </c>
      <c r="N4">
        <f>VLOOKUP(M4,A2:G9,6,FALSE)</f>
        <v>45000</v>
      </c>
    </row>
    <row r="5" spans="1:14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</row>
    <row r="6" spans="1:14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</row>
    <row r="7" spans="1:14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</row>
    <row r="8" spans="1:14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  <c r="J8" s="1" t="s">
        <v>0</v>
      </c>
      <c r="K8" s="1" t="s">
        <v>3</v>
      </c>
      <c r="M8" s="1" t="s">
        <v>0</v>
      </c>
      <c r="N8" s="3" t="s">
        <v>6</v>
      </c>
    </row>
    <row r="9" spans="1:14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  <c r="J9" s="4" t="s">
        <v>17</v>
      </c>
      <c r="K9" t="str">
        <f>VLOOKUP(J9,A2:G9,4,FALSE)</f>
        <v>Pune</v>
      </c>
      <c r="M9" s="4" t="s">
        <v>23</v>
      </c>
      <c r="N9">
        <f>VLOOKUP(M9,A2:G9,7,FALSE)</f>
        <v>35</v>
      </c>
    </row>
    <row r="10" spans="1:14" x14ac:dyDescent="0.25">
      <c r="J10" s="4" t="s">
        <v>27</v>
      </c>
      <c r="K10" t="str">
        <f>VLOOKUP(J10,A2:G9,4,FALSE)</f>
        <v>Pune</v>
      </c>
      <c r="M10" s="4" t="s">
        <v>21</v>
      </c>
      <c r="N10">
        <f>VLOOKUP(M10,A2:G9,7,FALSE)</f>
        <v>45</v>
      </c>
    </row>
    <row r="11" spans="1:14" x14ac:dyDescent="0.25">
      <c r="J11" s="4" t="s">
        <v>25</v>
      </c>
      <c r="K11" t="str">
        <f>VLOOKUP(J11,A2:G9,4,FALSE)</f>
        <v>Delhi</v>
      </c>
      <c r="M11" s="4" t="s">
        <v>10</v>
      </c>
      <c r="N11">
        <f>VLOOKUP(M11,A2:G9,7,FALSE)</f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139D-F0F3-4805-BC7C-DB6482F056F4}">
  <dimension ref="A1:P23"/>
  <sheetViews>
    <sheetView workbookViewId="0">
      <selection activeCell="J22" sqref="J22"/>
    </sheetView>
  </sheetViews>
  <sheetFormatPr defaultRowHeight="15" x14ac:dyDescent="0.25"/>
  <cols>
    <col min="1" max="1" width="11.42578125" customWidth="1"/>
    <col min="2" max="2" width="11.5703125" customWidth="1"/>
    <col min="3" max="3" width="12.5703125" customWidth="1"/>
    <col min="4" max="4" width="12.42578125" customWidth="1"/>
    <col min="5" max="5" width="10.28515625" customWidth="1"/>
    <col min="6" max="6" width="10" customWidth="1"/>
    <col min="12" max="12" width="11.570312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16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</row>
    <row r="3" spans="1:16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</row>
    <row r="4" spans="1:16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</row>
    <row r="5" spans="1:16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</row>
    <row r="6" spans="1:16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</row>
    <row r="7" spans="1:16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</row>
    <row r="8" spans="1:16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</row>
    <row r="9" spans="1:16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</row>
    <row r="16" spans="1:16" x14ac:dyDescent="0.25">
      <c r="L16" s="8"/>
      <c r="M16" s="8"/>
      <c r="N16" s="8"/>
      <c r="O16" s="8"/>
      <c r="P16" s="8"/>
    </row>
    <row r="17" spans="1:16" x14ac:dyDescent="0.25">
      <c r="A17" s="1" t="s">
        <v>0</v>
      </c>
      <c r="B17" s="4" t="s">
        <v>7</v>
      </c>
      <c r="C17" s="4" t="s">
        <v>10</v>
      </c>
      <c r="D17" s="4" t="s">
        <v>14</v>
      </c>
      <c r="E17" s="4" t="s">
        <v>17</v>
      </c>
      <c r="F17" s="4" t="s">
        <v>21</v>
      </c>
      <c r="G17" s="4" t="s">
        <v>23</v>
      </c>
      <c r="H17" s="4" t="s">
        <v>25</v>
      </c>
      <c r="I17" s="4" t="s">
        <v>27</v>
      </c>
      <c r="L17" s="6" t="s">
        <v>0</v>
      </c>
      <c r="M17" s="7" t="s">
        <v>7</v>
      </c>
      <c r="N17" s="8"/>
      <c r="O17" s="6" t="s">
        <v>0</v>
      </c>
      <c r="P17" s="7" t="s">
        <v>17</v>
      </c>
    </row>
    <row r="18" spans="1:16" x14ac:dyDescent="0.25">
      <c r="A18" s="1" t="s">
        <v>1</v>
      </c>
      <c r="B18" s="4" t="s">
        <v>8</v>
      </c>
      <c r="C18" s="4" t="s">
        <v>11</v>
      </c>
      <c r="D18" s="4" t="s">
        <v>15</v>
      </c>
      <c r="E18" s="4" t="s">
        <v>18</v>
      </c>
      <c r="F18" s="4" t="s">
        <v>22</v>
      </c>
      <c r="G18" s="4" t="s">
        <v>24</v>
      </c>
      <c r="H18" s="4" t="s">
        <v>26</v>
      </c>
      <c r="I18" s="4" t="s">
        <v>28</v>
      </c>
      <c r="L18" s="6" t="s">
        <v>3</v>
      </c>
      <c r="M18" s="8" t="str">
        <f>HLOOKUP(M17,B17:I23,4,FALSE)</f>
        <v>Ahmedabad</v>
      </c>
      <c r="N18" s="8"/>
      <c r="O18" s="6" t="s">
        <v>6</v>
      </c>
      <c r="P18" s="8">
        <f>HLOOKUP(P17,B17:I23,7,FALSE)</f>
        <v>92</v>
      </c>
    </row>
    <row r="19" spans="1:16" ht="30" x14ac:dyDescent="0.25">
      <c r="A19" s="1" t="s">
        <v>2</v>
      </c>
      <c r="B19" s="4" t="s">
        <v>4</v>
      </c>
      <c r="C19" s="4" t="s">
        <v>12</v>
      </c>
      <c r="D19" s="4" t="s">
        <v>4</v>
      </c>
      <c r="E19" s="4" t="s">
        <v>19</v>
      </c>
      <c r="F19" s="4" t="s">
        <v>12</v>
      </c>
      <c r="G19" s="4" t="s">
        <v>4</v>
      </c>
      <c r="H19" s="4" t="s">
        <v>19</v>
      </c>
      <c r="I19" s="4" t="s">
        <v>4</v>
      </c>
      <c r="L19" s="8"/>
      <c r="M19" s="8"/>
      <c r="N19" s="8"/>
      <c r="O19" s="8"/>
      <c r="P19" s="8"/>
    </row>
    <row r="20" spans="1:16" ht="30" x14ac:dyDescent="0.25">
      <c r="A20" s="6" t="s">
        <v>3</v>
      </c>
      <c r="B20" s="7" t="s">
        <v>9</v>
      </c>
      <c r="C20" s="7" t="s">
        <v>13</v>
      </c>
      <c r="D20" s="7" t="s">
        <v>16</v>
      </c>
      <c r="E20" s="7" t="s">
        <v>20</v>
      </c>
      <c r="F20" s="7" t="s">
        <v>9</v>
      </c>
      <c r="G20" s="7" t="s">
        <v>13</v>
      </c>
      <c r="H20" s="7" t="s">
        <v>16</v>
      </c>
      <c r="I20" s="7" t="s">
        <v>20</v>
      </c>
      <c r="L20" s="8"/>
      <c r="M20" s="8"/>
      <c r="N20" s="8"/>
      <c r="O20" s="8"/>
      <c r="P20" s="8"/>
    </row>
    <row r="21" spans="1:16" x14ac:dyDescent="0.25">
      <c r="A21" s="6" t="s">
        <v>4</v>
      </c>
      <c r="B21" s="7">
        <v>55000</v>
      </c>
      <c r="C21" s="7">
        <v>42000</v>
      </c>
      <c r="D21" s="7">
        <v>68000</v>
      </c>
      <c r="E21" s="7">
        <v>75000</v>
      </c>
      <c r="F21" s="7">
        <v>38000</v>
      </c>
      <c r="G21" s="7">
        <v>62000</v>
      </c>
      <c r="H21" s="7">
        <v>48000</v>
      </c>
      <c r="I21" s="7">
        <v>82000</v>
      </c>
      <c r="L21" s="6" t="s">
        <v>0</v>
      </c>
      <c r="M21" s="7" t="s">
        <v>23</v>
      </c>
      <c r="N21" s="8"/>
      <c r="O21" s="6" t="s">
        <v>0</v>
      </c>
      <c r="P21" s="7" t="s">
        <v>21</v>
      </c>
    </row>
    <row r="22" spans="1:16" ht="30" x14ac:dyDescent="0.25">
      <c r="A22" s="6" t="s">
        <v>5</v>
      </c>
      <c r="B22" s="7">
        <v>50000</v>
      </c>
      <c r="C22" s="7">
        <v>45000</v>
      </c>
      <c r="D22" s="7">
        <v>60000</v>
      </c>
      <c r="E22" s="7">
        <v>70000</v>
      </c>
      <c r="F22" s="7">
        <v>40000</v>
      </c>
      <c r="G22" s="7">
        <v>60000</v>
      </c>
      <c r="H22" s="7">
        <v>55000</v>
      </c>
      <c r="I22" s="7">
        <v>75000</v>
      </c>
      <c r="L22" s="6" t="s">
        <v>2</v>
      </c>
      <c r="M22" s="8" t="str">
        <f>HLOOKUP(M21,B17:I23,3,FALSE)</f>
        <v>Sales</v>
      </c>
      <c r="N22" s="8"/>
      <c r="O22" s="6" t="s">
        <v>5</v>
      </c>
      <c r="P22" s="8">
        <f>HLOOKUP(P21,B17:I23,6,FALSE)</f>
        <v>40000</v>
      </c>
    </row>
    <row r="23" spans="1:16" x14ac:dyDescent="0.25">
      <c r="A23" s="6" t="s">
        <v>6</v>
      </c>
      <c r="B23" s="7">
        <v>78</v>
      </c>
      <c r="C23" s="7">
        <v>88</v>
      </c>
      <c r="D23" s="7">
        <v>65</v>
      </c>
      <c r="E23" s="7">
        <v>92</v>
      </c>
      <c r="F23" s="7">
        <v>45</v>
      </c>
      <c r="G23" s="7">
        <v>35</v>
      </c>
      <c r="H23" s="7">
        <v>81</v>
      </c>
      <c r="I23" s="7">
        <v>95</v>
      </c>
      <c r="L23" s="8"/>
      <c r="M23" s="8"/>
      <c r="N23" s="8"/>
      <c r="O23" s="8"/>
      <c r="P2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8AD3-EC9A-4CCC-ACCC-572981C04273}">
  <dimension ref="A1:M9"/>
  <sheetViews>
    <sheetView workbookViewId="0">
      <selection activeCell="M3" sqref="M3"/>
    </sheetView>
  </sheetViews>
  <sheetFormatPr defaultRowHeight="15" x14ac:dyDescent="0.25"/>
  <cols>
    <col min="2" max="2" width="11.5703125" customWidth="1"/>
    <col min="3" max="3" width="14" customWidth="1"/>
    <col min="4" max="4" width="12.28515625" customWidth="1"/>
    <col min="5" max="5" width="10.28515625" customWidth="1"/>
    <col min="6" max="6" width="10.7109375" customWidth="1"/>
    <col min="7" max="7" width="11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J1" s="1" t="s">
        <v>0</v>
      </c>
      <c r="K1" s="3" t="s">
        <v>4</v>
      </c>
      <c r="L1" s="3" t="s">
        <v>5</v>
      </c>
      <c r="M1" s="3" t="s">
        <v>6</v>
      </c>
    </row>
    <row r="2" spans="1:13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J2" s="4" t="s">
        <v>17</v>
      </c>
      <c r="K2">
        <f>INDEX(E2:E9,MATCH("E104",A2:A9,0))</f>
        <v>75000</v>
      </c>
      <c r="L2">
        <f>INDEX(F2:F9,MATCH(A5,A2:A9,0))</f>
        <v>70000</v>
      </c>
      <c r="M2">
        <f>INDEX(G2:G9,MATCH(A5,A2:A9,0))</f>
        <v>92</v>
      </c>
    </row>
    <row r="3" spans="1:13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J3" s="4" t="s">
        <v>25</v>
      </c>
      <c r="K3">
        <f>INDEX(E2:E9,MATCH("E105",A2:A9,0))</f>
        <v>38000</v>
      </c>
      <c r="L3">
        <f>INDEX(F2:F9,MATCH(J3,A2:A9,0))</f>
        <v>55000</v>
      </c>
      <c r="M3">
        <f>INDEX(G2:G9,MATCH(J3,A2:A9,0))</f>
        <v>81</v>
      </c>
    </row>
    <row r="4" spans="1:13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J4" s="4" t="s">
        <v>7</v>
      </c>
      <c r="K4">
        <f>INDEX(E2:E9,MATCH(A2,A2:A9,0))</f>
        <v>55000</v>
      </c>
      <c r="L4">
        <f>INDEX(F2:F9,MATCH(A2,A2:A9,0))</f>
        <v>50000</v>
      </c>
      <c r="M4">
        <f>INDEX(G2:G9,MATCH(J4,A2:A9,0))</f>
        <v>78</v>
      </c>
    </row>
    <row r="5" spans="1:13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</row>
    <row r="6" spans="1:13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</row>
    <row r="7" spans="1:13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</row>
    <row r="8" spans="1:13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</row>
    <row r="9" spans="1:13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B37B-BADC-4A93-AF78-66F22411F14B}">
  <dimension ref="A1:K32"/>
  <sheetViews>
    <sheetView topLeftCell="A13" zoomScale="95" zoomScaleNormal="95" workbookViewId="0">
      <selection activeCell="H25" sqref="H25"/>
    </sheetView>
  </sheetViews>
  <sheetFormatPr defaultRowHeight="15" x14ac:dyDescent="0.25"/>
  <cols>
    <col min="1" max="1" width="10" customWidth="1"/>
    <col min="2" max="2" width="11.7109375" customWidth="1"/>
    <col min="3" max="3" width="13.42578125" customWidth="1"/>
    <col min="4" max="4" width="14.42578125" customWidth="1"/>
    <col min="5" max="5" width="10.28515625" customWidth="1"/>
    <col min="6" max="6" width="10.7109375" customWidth="1"/>
    <col min="7" max="7" width="10.85546875" customWidth="1"/>
    <col min="10" max="10" width="11.42578125" customWidth="1"/>
    <col min="11" max="11" width="14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11" ht="30" x14ac:dyDescent="0.25">
      <c r="A2" s="4" t="s">
        <v>7</v>
      </c>
      <c r="B2" s="4" t="s">
        <v>8</v>
      </c>
      <c r="C2" s="4" t="s">
        <v>4</v>
      </c>
      <c r="D2" s="4" t="s">
        <v>9</v>
      </c>
      <c r="E2" s="2">
        <v>55000</v>
      </c>
      <c r="F2" s="2">
        <v>50000</v>
      </c>
      <c r="G2" s="2">
        <v>78</v>
      </c>
      <c r="J2" s="9" t="s">
        <v>38</v>
      </c>
      <c r="K2" t="s">
        <v>37</v>
      </c>
    </row>
    <row r="3" spans="1:11" x14ac:dyDescent="0.25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45000</v>
      </c>
      <c r="G3" s="2">
        <v>88</v>
      </c>
      <c r="J3" s="8" t="s">
        <v>9</v>
      </c>
      <c r="K3" s="10">
        <v>93000</v>
      </c>
    </row>
    <row r="4" spans="1:11" x14ac:dyDescent="0.25">
      <c r="A4" s="4" t="s">
        <v>14</v>
      </c>
      <c r="B4" s="4" t="s">
        <v>15</v>
      </c>
      <c r="C4" s="4" t="s">
        <v>4</v>
      </c>
      <c r="D4" s="4" t="s">
        <v>16</v>
      </c>
      <c r="E4" s="2">
        <v>68000</v>
      </c>
      <c r="F4" s="2">
        <v>60000</v>
      </c>
      <c r="G4" s="2">
        <v>65</v>
      </c>
      <c r="J4" s="8" t="s">
        <v>16</v>
      </c>
      <c r="K4" s="10">
        <v>116000</v>
      </c>
    </row>
    <row r="5" spans="1:11" x14ac:dyDescent="0.25">
      <c r="A5" s="4" t="s">
        <v>17</v>
      </c>
      <c r="B5" s="4" t="s">
        <v>18</v>
      </c>
      <c r="C5" s="4" t="s">
        <v>19</v>
      </c>
      <c r="D5" s="4" t="s">
        <v>20</v>
      </c>
      <c r="E5" s="2">
        <v>75000</v>
      </c>
      <c r="F5" s="2">
        <v>70000</v>
      </c>
      <c r="G5" s="2">
        <v>92</v>
      </c>
      <c r="J5" s="8" t="s">
        <v>13</v>
      </c>
      <c r="K5" s="10">
        <v>104000</v>
      </c>
    </row>
    <row r="6" spans="1:11" ht="30" x14ac:dyDescent="0.25">
      <c r="A6" s="4" t="s">
        <v>21</v>
      </c>
      <c r="B6" s="4" t="s">
        <v>22</v>
      </c>
      <c r="C6" s="4" t="s">
        <v>12</v>
      </c>
      <c r="D6" s="4" t="s">
        <v>9</v>
      </c>
      <c r="E6" s="2">
        <v>38000</v>
      </c>
      <c r="F6" s="2">
        <v>40000</v>
      </c>
      <c r="G6" s="2">
        <v>45</v>
      </c>
      <c r="J6" s="8" t="s">
        <v>20</v>
      </c>
      <c r="K6" s="10">
        <v>157000</v>
      </c>
    </row>
    <row r="7" spans="1:11" x14ac:dyDescent="0.25">
      <c r="A7" s="4" t="s">
        <v>23</v>
      </c>
      <c r="B7" s="4" t="s">
        <v>24</v>
      </c>
      <c r="C7" s="4" t="s">
        <v>4</v>
      </c>
      <c r="D7" s="4" t="s">
        <v>13</v>
      </c>
      <c r="E7" s="2">
        <v>62000</v>
      </c>
      <c r="F7" s="2">
        <v>60000</v>
      </c>
      <c r="G7" s="2">
        <v>35</v>
      </c>
      <c r="J7" s="8" t="s">
        <v>36</v>
      </c>
      <c r="K7" s="10">
        <v>470000</v>
      </c>
    </row>
    <row r="8" spans="1:11" x14ac:dyDescent="0.25">
      <c r="A8" s="4" t="s">
        <v>25</v>
      </c>
      <c r="B8" s="4" t="s">
        <v>26</v>
      </c>
      <c r="C8" s="4" t="s">
        <v>19</v>
      </c>
      <c r="D8" s="4" t="s">
        <v>16</v>
      </c>
      <c r="E8" s="2">
        <v>48000</v>
      </c>
      <c r="F8" s="2">
        <v>55000</v>
      </c>
      <c r="G8" s="2">
        <v>81</v>
      </c>
    </row>
    <row r="9" spans="1:11" x14ac:dyDescent="0.25">
      <c r="A9" s="4" t="s">
        <v>27</v>
      </c>
      <c r="B9" s="4" t="s">
        <v>28</v>
      </c>
      <c r="C9" s="4" t="s">
        <v>4</v>
      </c>
      <c r="D9" s="4" t="s">
        <v>20</v>
      </c>
      <c r="E9" s="2">
        <v>82000</v>
      </c>
      <c r="F9" s="2">
        <v>75000</v>
      </c>
      <c r="G9" s="2">
        <v>95</v>
      </c>
    </row>
    <row r="27" spans="10:11" x14ac:dyDescent="0.25">
      <c r="J27" s="9" t="s">
        <v>38</v>
      </c>
      <c r="K27" t="s">
        <v>37</v>
      </c>
    </row>
    <row r="28" spans="10:11" x14ac:dyDescent="0.25">
      <c r="J28" s="8" t="s">
        <v>9</v>
      </c>
      <c r="K28" s="10">
        <v>93000</v>
      </c>
    </row>
    <row r="29" spans="10:11" x14ac:dyDescent="0.25">
      <c r="J29" s="8" t="s">
        <v>16</v>
      </c>
      <c r="K29" s="10">
        <v>116000</v>
      </c>
    </row>
    <row r="30" spans="10:11" x14ac:dyDescent="0.25">
      <c r="J30" s="8" t="s">
        <v>13</v>
      </c>
      <c r="K30" s="10">
        <v>104000</v>
      </c>
    </row>
    <row r="31" spans="10:11" x14ac:dyDescent="0.25">
      <c r="J31" s="8" t="s">
        <v>20</v>
      </c>
      <c r="K31" s="10">
        <v>157000</v>
      </c>
    </row>
    <row r="32" spans="10:11" x14ac:dyDescent="0.25">
      <c r="J32" s="8" t="s">
        <v>36</v>
      </c>
      <c r="K32" s="10">
        <v>470000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F38F-E8EF-4EE4-8E10-E5DE74F9D22A}">
  <dimension ref="A3:B8"/>
  <sheetViews>
    <sheetView workbookViewId="0">
      <selection activeCell="F19" sqref="F1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9" t="s">
        <v>2</v>
      </c>
      <c r="B3" t="s">
        <v>37</v>
      </c>
    </row>
    <row r="4" spans="1:2" x14ac:dyDescent="0.25">
      <c r="A4" s="8" t="s">
        <v>12</v>
      </c>
      <c r="B4" s="10">
        <v>80000</v>
      </c>
    </row>
    <row r="5" spans="1:2" x14ac:dyDescent="0.25">
      <c r="A5" s="8" t="s">
        <v>19</v>
      </c>
      <c r="B5" s="10">
        <v>123000</v>
      </c>
    </row>
    <row r="6" spans="1:2" x14ac:dyDescent="0.25">
      <c r="A6" s="8" t="s">
        <v>4</v>
      </c>
      <c r="B6" s="10">
        <v>267000</v>
      </c>
    </row>
    <row r="7" spans="1:2" x14ac:dyDescent="0.25">
      <c r="A7" s="8" t="s">
        <v>35</v>
      </c>
      <c r="B7" s="10"/>
    </row>
    <row r="8" spans="1:2" x14ac:dyDescent="0.25">
      <c r="A8" s="8" t="s">
        <v>36</v>
      </c>
      <c r="B8" s="10">
        <v>470000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D209-07B2-4214-85F9-5141D501E6D9}"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9" t="s">
        <v>38</v>
      </c>
      <c r="B3" t="s">
        <v>37</v>
      </c>
    </row>
    <row r="4" spans="1:2" x14ac:dyDescent="0.25">
      <c r="A4" s="8" t="s">
        <v>9</v>
      </c>
      <c r="B4" s="10">
        <v>93000</v>
      </c>
    </row>
    <row r="5" spans="1:2" x14ac:dyDescent="0.25">
      <c r="A5" s="8" t="s">
        <v>16</v>
      </c>
      <c r="B5" s="10">
        <v>116000</v>
      </c>
    </row>
    <row r="6" spans="1:2" x14ac:dyDescent="0.25">
      <c r="A6" s="8" t="s">
        <v>13</v>
      </c>
      <c r="B6" s="10">
        <v>104000</v>
      </c>
    </row>
    <row r="7" spans="1:2" x14ac:dyDescent="0.25">
      <c r="A7" s="8" t="s">
        <v>20</v>
      </c>
      <c r="B7" s="10">
        <v>157000</v>
      </c>
    </row>
    <row r="8" spans="1:2" x14ac:dyDescent="0.25">
      <c r="A8" s="8" t="s">
        <v>36</v>
      </c>
      <c r="B8" s="10">
        <v>470000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SUM,AVG,AUTO SUM</vt:lpstr>
      <vt:lpstr>IF </vt:lpstr>
      <vt:lpstr>NESTED IF </vt:lpstr>
      <vt:lpstr>Vlookup</vt:lpstr>
      <vt:lpstr>Hlookup| </vt:lpstr>
      <vt:lpstr>Index Match</vt:lpstr>
      <vt:lpstr>Pivot table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2026-08-08T11:49:01Z</dcterms:created>
  <dcterms:modified xsi:type="dcterms:W3CDTF">2026-08-08T14:25:39Z</dcterms:modified>
</cp:coreProperties>
</file>