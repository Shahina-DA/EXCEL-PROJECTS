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1\Downloads\"/>
    </mc:Choice>
  </mc:AlternateContent>
  <xr:revisionPtr revIDLastSave="0" documentId="13_ncr:1_{1112A992-FC1F-4677-856D-15D457AD075C}" xr6:coauthVersionLast="47" xr6:coauthVersionMax="47" xr10:uidLastSave="{00000000-0000-0000-0000-000000000000}"/>
  <bookViews>
    <workbookView xWindow="-120" yWindow="-120" windowWidth="20730" windowHeight="11040" activeTab="4" xr2:uid="{4AC0C1E8-553C-4E26-A48D-2C743E18F411}"/>
  </bookViews>
  <sheets>
    <sheet name="Basic entry" sheetId="1" r:id="rId1"/>
    <sheet name=" Font &amp; Alignment " sheetId="2" r:id="rId2"/>
    <sheet name="Aggregation" sheetId="3" r:id="rId3"/>
    <sheet name="Split  &amp; Concet" sheetId="4" r:id="rId4"/>
    <sheet name="insert" sheetId="5" r:id="rId5"/>
  </sheets>
  <definedNames>
    <definedName name="_xlnm._FilterDatabase" localSheetId="0" hidden="1">'Basic entry'!$A$1:$E$1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2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F7" i="3"/>
  <c r="F6" i="3"/>
  <c r="F5" i="3"/>
  <c r="F4" i="3"/>
  <c r="F3" i="3"/>
  <c r="F2" i="3"/>
  <c r="P20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</calcChain>
</file>

<file path=xl/sharedStrings.xml><?xml version="1.0" encoding="utf-8"?>
<sst xmlns="http://schemas.openxmlformats.org/spreadsheetml/2006/main" count="336" uniqueCount="191">
  <si>
    <t>S.no</t>
  </si>
  <si>
    <t>Name</t>
  </si>
  <si>
    <t>Age</t>
  </si>
  <si>
    <t>Salary</t>
  </si>
  <si>
    <t>Department</t>
  </si>
  <si>
    <t>Ram</t>
  </si>
  <si>
    <t>Sales</t>
  </si>
  <si>
    <t>Shayam</t>
  </si>
  <si>
    <t>Finance</t>
  </si>
  <si>
    <t>Rohan</t>
  </si>
  <si>
    <t>Shivam</t>
  </si>
  <si>
    <t>Marketing</t>
  </si>
  <si>
    <t>Rohit</t>
  </si>
  <si>
    <t>IT</t>
  </si>
  <si>
    <t>Priya</t>
  </si>
  <si>
    <t>Riya</t>
  </si>
  <si>
    <t>Shivani</t>
  </si>
  <si>
    <t>Anu</t>
  </si>
  <si>
    <t>Virat</t>
  </si>
  <si>
    <t>Het</t>
  </si>
  <si>
    <t>Upper case</t>
  </si>
  <si>
    <t>Lowwer case</t>
  </si>
  <si>
    <t>Font</t>
  </si>
  <si>
    <t>Alignement</t>
  </si>
  <si>
    <t>Numbers</t>
  </si>
  <si>
    <t>Shahina</t>
  </si>
  <si>
    <t>Ruby</t>
  </si>
  <si>
    <t>Jay</t>
  </si>
  <si>
    <t>Nisha</t>
  </si>
  <si>
    <t xml:space="preserve">Jaheda </t>
  </si>
  <si>
    <t>Rishin</t>
  </si>
  <si>
    <t>Trisha</t>
  </si>
  <si>
    <t>Hey, we are learning Excel in 2026.</t>
  </si>
  <si>
    <t>Bhgyesh</t>
  </si>
  <si>
    <t>Rubby</t>
  </si>
  <si>
    <t>Marks</t>
  </si>
  <si>
    <t>Jiya</t>
  </si>
  <si>
    <t>Devratna</t>
  </si>
  <si>
    <t>Meet</t>
  </si>
  <si>
    <t>Sum</t>
  </si>
  <si>
    <t>Average</t>
  </si>
  <si>
    <t>Min</t>
  </si>
  <si>
    <t>Max</t>
  </si>
  <si>
    <t>Count</t>
  </si>
  <si>
    <t>Counta</t>
  </si>
  <si>
    <t>First Name</t>
  </si>
  <si>
    <t>Patel</t>
  </si>
  <si>
    <t>Sharma</t>
  </si>
  <si>
    <t>Soni</t>
  </si>
  <si>
    <t>Kohli</t>
  </si>
  <si>
    <t>Rahul</t>
  </si>
  <si>
    <t>Kumar</t>
  </si>
  <si>
    <t>Shah</t>
  </si>
  <si>
    <t>Gaurav</t>
  </si>
  <si>
    <t>Kapoor</t>
  </si>
  <si>
    <t>Kashvi</t>
  </si>
  <si>
    <t>Aditya</t>
  </si>
  <si>
    <t>Thakkar</t>
  </si>
  <si>
    <t>Full name</t>
  </si>
  <si>
    <t>Rohan Patel</t>
  </si>
  <si>
    <t>Rohit Sharma</t>
  </si>
  <si>
    <t>Shivam Soni</t>
  </si>
  <si>
    <t>Virat Kohli</t>
  </si>
  <si>
    <t>Rahul Kumar</t>
  </si>
  <si>
    <t>Meet Shah</t>
  </si>
  <si>
    <t>Gaurav Kapoor</t>
  </si>
  <si>
    <t>Jiya Patel</t>
  </si>
  <si>
    <t>Kashvi Shah</t>
  </si>
  <si>
    <t>Aditya Thakkar</t>
  </si>
  <si>
    <t>Concet</t>
  </si>
  <si>
    <t>Total</t>
  </si>
  <si>
    <t>Men</t>
  </si>
  <si>
    <t>Women</t>
  </si>
  <si>
    <t>ID</t>
  </si>
  <si>
    <t>Full_Name</t>
  </si>
  <si>
    <t>Location</t>
  </si>
  <si>
    <t>Email</t>
  </si>
  <si>
    <t>Phone</t>
  </si>
  <si>
    <t>Product_Code</t>
  </si>
  <si>
    <t>Order_ID</t>
  </si>
  <si>
    <t>Employee_Code</t>
  </si>
  <si>
    <t>Arbaz Khan</t>
  </si>
  <si>
    <t>Ahmedabad, Gujarat</t>
  </si>
  <si>
    <t>LAP-DELL-001</t>
  </si>
  <si>
    <t>ORD-2026-1001</t>
  </si>
  <si>
    <t>EMP-AHM-101</t>
  </si>
  <si>
    <t>Rahul Sharma</t>
  </si>
  <si>
    <t>Mumbai, Maharashtra</t>
  </si>
  <si>
    <t>rahul.sharma@yahoo.com</t>
  </si>
  <si>
    <t>MOB-SAM-002</t>
  </si>
  <si>
    <t>ORD-2026-1002</t>
  </si>
  <si>
    <t>EMP-MUM-102</t>
  </si>
  <si>
    <t>Priya Patel</t>
  </si>
  <si>
    <t>Surat, Gujarat</t>
  </si>
  <si>
    <t>priya.patel@gmail.com</t>
  </si>
  <si>
    <t>TAB-APP-003</t>
  </si>
  <si>
    <t>ORD-2026-1003</t>
  </si>
  <si>
    <t>EMP-SUR-103</t>
  </si>
  <si>
    <t>Neha Shah</t>
  </si>
  <si>
    <t>Vadodara, Gujarat</t>
  </si>
  <si>
    <t>neha.shah@outlook.com</t>
  </si>
  <si>
    <t>LAP-HP-004</t>
  </si>
  <si>
    <t>ORD-2026-1004</t>
  </si>
  <si>
    <t>EMP-VAD-104</t>
  </si>
  <si>
    <t>Amit Verma</t>
  </si>
  <si>
    <t>Delhi, Delhi</t>
  </si>
  <si>
    <t>amit.verma@gmail.com</t>
  </si>
  <si>
    <t>MON-LG-005</t>
  </si>
  <si>
    <t>ORD-2026-1005</t>
  </si>
  <si>
    <t>EMP-DEL-105</t>
  </si>
  <si>
    <t>Sana Khan</t>
  </si>
  <si>
    <t>Jaipur, Rajasthan</t>
  </si>
  <si>
    <t>sana.khan@yahoo.com</t>
  </si>
  <si>
    <t>MOB-ONE-006</t>
  </si>
  <si>
    <t>ORD-2026-1006</t>
  </si>
  <si>
    <t>EMP-JAI-106</t>
  </si>
  <si>
    <t>Rohan Mehta</t>
  </si>
  <si>
    <t>Pune, Maharashtra</t>
  </si>
  <si>
    <t>rohan.mehta@gmail.com</t>
  </si>
  <si>
    <t>LAP-LEN-007</t>
  </si>
  <si>
    <t>ORD-2026-1007</t>
  </si>
  <si>
    <t>EMP-PUN-107</t>
  </si>
  <si>
    <t>Pooja Desai</t>
  </si>
  <si>
    <t>Rajkot, Gujarat</t>
  </si>
  <si>
    <t>pooja.desai@outlook.com</t>
  </si>
  <si>
    <t>TAB-SAM-008</t>
  </si>
  <si>
    <t>ORD-2026-1008</t>
  </si>
  <si>
    <t>EMP-RAJ-108</t>
  </si>
  <si>
    <t>Imran Ali</t>
  </si>
  <si>
    <t>Hyderabad, Telangana</t>
  </si>
  <si>
    <t>imran.ali@gmail.com</t>
  </si>
  <si>
    <t>MOB-RED-009</t>
  </si>
  <si>
    <t>ORD-2026-1009</t>
  </si>
  <si>
    <t>EMP-HYD-109</t>
  </si>
  <si>
    <t>Kavita Joshi</t>
  </si>
  <si>
    <t>Chennai, Tamil Nadu</t>
  </si>
  <si>
    <t>kavita.joshi@yahoo.com</t>
  </si>
  <si>
    <t>LAP-ASU-010</t>
  </si>
  <si>
    <t>ORD-2026-1010</t>
  </si>
  <si>
    <t>EMP-CHE-110</t>
  </si>
  <si>
    <t>Raj Malhotra</t>
  </si>
  <si>
    <t>Kolkata, West Bengal</t>
  </si>
  <si>
    <t>raj.malhotra@gmail.com</t>
  </si>
  <si>
    <t>MON-DEL-011</t>
  </si>
  <si>
    <t>ORD-2026-1011</t>
  </si>
  <si>
    <t>EMP-KOL-111</t>
  </si>
  <si>
    <t>Meera Shah</t>
  </si>
  <si>
    <t>meera.shah@outlook.com</t>
  </si>
  <si>
    <t>MOB-APP-012</t>
  </si>
  <si>
    <t>ORD-2026-1012</t>
  </si>
  <si>
    <t>EMP-AHM-112</t>
  </si>
  <si>
    <t>Danish Khan</t>
  </si>
  <si>
    <t>danish.khan@gmail.com</t>
  </si>
  <si>
    <t>LAP-HP-013</t>
  </si>
  <si>
    <t>ORD-2026-1013</t>
  </si>
  <si>
    <t>EMP-MUM-113</t>
  </si>
  <si>
    <t>Nisha Patel</t>
  </si>
  <si>
    <t>nisha.patel@yahoo.com</t>
  </si>
  <si>
    <t>TAB-LEN-014</t>
  </si>
  <si>
    <t>ORD-2026-1014</t>
  </si>
  <si>
    <t>EMP-SUR-114</t>
  </si>
  <si>
    <t>Karan Singh</t>
  </si>
  <si>
    <t>karan.singh@gmail.com</t>
  </si>
  <si>
    <t>MOB-SAM-015</t>
  </si>
  <si>
    <t>ORD-2026-1015</t>
  </si>
  <si>
    <t>EMP-JAI-115</t>
  </si>
  <si>
    <t>Arbaz</t>
  </si>
  <si>
    <t>Khan</t>
  </si>
  <si>
    <t>Ahmedabad,</t>
  </si>
  <si>
    <t>Gujarat</t>
  </si>
  <si>
    <t>Mumbai,</t>
  </si>
  <si>
    <t>Maharashtra</t>
  </si>
  <si>
    <t>Surat</t>
  </si>
  <si>
    <t>Vadodara</t>
  </si>
  <si>
    <t>Delhi</t>
  </si>
  <si>
    <t>Jaipur</t>
  </si>
  <si>
    <t>Rajasthan</t>
  </si>
  <si>
    <t>Pune</t>
  </si>
  <si>
    <t>Rajkot</t>
  </si>
  <si>
    <t>Hyderabad</t>
  </si>
  <si>
    <t>Telangana</t>
  </si>
  <si>
    <t>Chennai</t>
  </si>
  <si>
    <t>Tamil</t>
  </si>
  <si>
    <t>Nadu</t>
  </si>
  <si>
    <t>Kolkata</t>
  </si>
  <si>
    <t>West</t>
  </si>
  <si>
    <t>Bengal</t>
  </si>
  <si>
    <t>Ahmedabad</t>
  </si>
  <si>
    <t>Mumbai</t>
  </si>
  <si>
    <t>arbaz.khina@gmail.com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</si>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</sst>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5" formatCode="&quot;₹&quot;\ #,##0.00"/>
    <numFmt numFmtId="166" formatCode="[$-F800]dddd\,\ mmmm\ dd\,\ yyyy"/>
    <numFmt numFmtId="167" formatCode="[$-F400]h:mm:ss\ AM/PM"/>
    <numFmt numFmtId="171" formatCode="_-[$$-409]* #,##0.00_ ;_-[$$-409]* \-#,##0.00\ ;_-[$$-409]* &quot;-&quot;??_ ;_-@_ "/>
    <numFmt numFmtId="172" formatCode="_ * #,##0.000_ ;_ * \-#,##0.00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 val="double"/>
      <sz val="16"/>
      <color theme="1"/>
      <name val="Arial"/>
      <family val="2"/>
    </font>
    <font>
      <sz val="11"/>
      <color rgb="FF7030A0"/>
      <name val="Aharoni"/>
      <charset val="177"/>
    </font>
    <font>
      <sz val="11"/>
      <color rgb="FF002060"/>
      <name val="Arial Rounded MT Bold"/>
      <family val="2"/>
    </font>
    <font>
      <sz val="11"/>
      <color rgb="FF00B0F0"/>
      <name val="Bahnschrift"/>
      <family val="2"/>
    </font>
    <font>
      <sz val="11"/>
      <color rgb="FF0070C0"/>
      <name val="Bahnschrift Condensed"/>
      <family val="2"/>
    </font>
    <font>
      <sz val="26"/>
      <color rgb="FF92D050"/>
      <name val="Bahnschrift SemiCondensed"/>
      <family val="2"/>
    </font>
    <font>
      <sz val="11"/>
      <color theme="2"/>
      <name val="Calibri"/>
      <family val="2"/>
      <scheme val="minor"/>
    </font>
    <font>
      <sz val="16"/>
      <color theme="2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/>
    <xf numFmtId="0" fontId="6" fillId="2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textRotation="135" wrapText="1"/>
    </xf>
    <xf numFmtId="0" fontId="11" fillId="0" borderId="0" xfId="0" applyFont="1"/>
    <xf numFmtId="0" fontId="0" fillId="0" borderId="0" xfId="0" applyAlignment="1">
      <alignment textRotation="255"/>
    </xf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12" fontId="0" fillId="0" borderId="0" xfId="0" applyNumberFormat="1"/>
    <xf numFmtId="11" fontId="0" fillId="0" borderId="0" xfId="0" applyNumberFormat="1"/>
    <xf numFmtId="49" fontId="0" fillId="0" borderId="0" xfId="0" applyNumberFormat="1"/>
    <xf numFmtId="44" fontId="0" fillId="0" borderId="0" xfId="2" applyFont="1"/>
    <xf numFmtId="171" fontId="0" fillId="0" borderId="0" xfId="0" applyNumberFormat="1"/>
    <xf numFmtId="9" fontId="0" fillId="0" borderId="0" xfId="3" applyFont="1"/>
    <xf numFmtId="172" fontId="0" fillId="0" borderId="0" xfId="1" applyNumberFormat="1" applyFont="1"/>
    <xf numFmtId="0" fontId="12" fillId="4" borderId="1" xfId="0" applyFont="1" applyFill="1" applyBorder="1"/>
    <xf numFmtId="0" fontId="0" fillId="0" borderId="1" xfId="0" applyBorder="1"/>
    <xf numFmtId="0" fontId="12" fillId="4" borderId="11" xfId="0" applyFont="1" applyFill="1" applyBorder="1"/>
    <xf numFmtId="0" fontId="13" fillId="5" borderId="1" xfId="0" applyFont="1" applyFill="1" applyBorder="1"/>
    <xf numFmtId="0" fontId="14" fillId="0" borderId="1" xfId="0" applyFont="1" applyBorder="1"/>
    <xf numFmtId="0" fontId="13" fillId="5" borderId="10" xfId="0" applyFont="1" applyFill="1" applyBorder="1"/>
    <xf numFmtId="0" fontId="14" fillId="0" borderId="0" xfId="0" applyFont="1"/>
    <xf numFmtId="0" fontId="15" fillId="0" borderId="0" xfId="0" applyFont="1"/>
    <xf numFmtId="0" fontId="5" fillId="0" borderId="1" xfId="4" applyBorder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insert!$B$4:$D$4</c:f>
              <c:strCache>
                <c:ptCount val="3"/>
                <c:pt idx="0">
                  <c:v>Total</c:v>
                </c:pt>
                <c:pt idx="1">
                  <c:v>Men</c:v>
                </c:pt>
                <c:pt idx="2">
                  <c:v>Women</c:v>
                </c:pt>
              </c:strCache>
            </c:strRef>
          </c:cat>
          <c:val>
            <c:numRef>
              <c:f>insert!$B$5:$D$5</c:f>
              <c:numCache>
                <c:formatCode>General</c:formatCode>
                <c:ptCount val="3"/>
                <c:pt idx="0">
                  <c:v>100</c:v>
                </c:pt>
                <c:pt idx="1">
                  <c:v>60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D-428E-980B-565E8CA7637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insert!$B$4:$D$4</c:f>
              <c:strCache>
                <c:ptCount val="3"/>
                <c:pt idx="0">
                  <c:v>Total</c:v>
                </c:pt>
                <c:pt idx="1">
                  <c:v>Men</c:v>
                </c:pt>
                <c:pt idx="2">
                  <c:v>Women</c:v>
                </c:pt>
              </c:strCache>
            </c:strRef>
          </c:cat>
          <c:val>
            <c:numRef>
              <c:f>insert!$B$6:$D$6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AD2D-428E-980B-565E8CA76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8777456"/>
        <c:axId val="498764144"/>
        <c:axId val="0"/>
      </c:bar3DChart>
      <c:catAx>
        <c:axId val="49877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64144"/>
        <c:crosses val="autoZero"/>
        <c:auto val="1"/>
        <c:lblAlgn val="ctr"/>
        <c:lblOffset val="100"/>
        <c:noMultiLvlLbl val="0"/>
      </c:catAx>
      <c:valAx>
        <c:axId val="4987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7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5</xdr:row>
      <xdr:rowOff>161925</xdr:rowOff>
    </xdr:from>
    <xdr:to>
      <xdr:col>13</xdr:col>
      <xdr:colOff>323850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98369-ADF8-2FA6-5807-554E408D4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7AAEB-693A-457B-95FD-D38AC3BA6642}" name="Table1" displayName="Table1" ref="I1:M21" totalsRowShown="0" headerRowDxfId="11" headerRowBorderDxfId="9" tableBorderDxfId="10" totalsRowBorderDxfId="8">
  <autoFilter ref="I1:M21" xr:uid="{EDE7AAEB-693A-457B-95FD-D38AC3BA6642}"/>
  <tableColumns count="5">
    <tableColumn id="1" xr3:uid="{F498BBD6-40F7-4E2E-9C03-23D40B303F5C}" name="S.no" dataDxfId="7"/>
    <tableColumn id="2" xr3:uid="{C8148374-E84B-4258-8F96-434FBF9F8DB4}" name="Name" dataDxfId="6"/>
    <tableColumn id="3" xr3:uid="{B4124D20-BA21-47FB-9D72-E110E432F7E9}" name="Age" dataDxfId="5"/>
    <tableColumn id="4" xr3:uid="{D09A414F-1CB1-4E80-9171-976EC4556099}" name="Salary" dataDxfId="4"/>
    <tableColumn id="5" xr3:uid="{64A6213B-19E2-477F-BDDE-6C6986B828C7}" name="Department" dataDxfId="3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mran.ali@gmail.com" TargetMode="External"/><Relationship Id="rId13" Type="http://schemas.openxmlformats.org/officeDocument/2006/relationships/hyperlink" Target="mailto:nisha.patel@yahoo.com" TargetMode="External"/><Relationship Id="rId18" Type="http://schemas.openxmlformats.org/officeDocument/2006/relationships/hyperlink" Target="mailto:neha.shah@outlook.com" TargetMode="External"/><Relationship Id="rId26" Type="http://schemas.openxmlformats.org/officeDocument/2006/relationships/hyperlink" Target="mailto:meera.shah@outlook.com" TargetMode="External"/><Relationship Id="rId3" Type="http://schemas.openxmlformats.org/officeDocument/2006/relationships/hyperlink" Target="mailto:neha.shah@outlook.com" TargetMode="External"/><Relationship Id="rId21" Type="http://schemas.openxmlformats.org/officeDocument/2006/relationships/hyperlink" Target="mailto:rohan.mehta@gmail.com" TargetMode="External"/><Relationship Id="rId7" Type="http://schemas.openxmlformats.org/officeDocument/2006/relationships/hyperlink" Target="mailto:pooja.desai@outlook.com" TargetMode="External"/><Relationship Id="rId12" Type="http://schemas.openxmlformats.org/officeDocument/2006/relationships/hyperlink" Target="mailto:danish.khan@gmail.com" TargetMode="External"/><Relationship Id="rId17" Type="http://schemas.openxmlformats.org/officeDocument/2006/relationships/hyperlink" Target="mailto:priya.patel@gmail.com" TargetMode="External"/><Relationship Id="rId25" Type="http://schemas.openxmlformats.org/officeDocument/2006/relationships/hyperlink" Target="mailto:raj.malhotra@gmail.com" TargetMode="External"/><Relationship Id="rId2" Type="http://schemas.openxmlformats.org/officeDocument/2006/relationships/hyperlink" Target="mailto:priya.patel@gmail.com" TargetMode="External"/><Relationship Id="rId16" Type="http://schemas.openxmlformats.org/officeDocument/2006/relationships/hyperlink" Target="mailto:rahul.sharma@yahoo.com" TargetMode="External"/><Relationship Id="rId20" Type="http://schemas.openxmlformats.org/officeDocument/2006/relationships/hyperlink" Target="mailto:sana.khan@yahoo.com" TargetMode="External"/><Relationship Id="rId29" Type="http://schemas.openxmlformats.org/officeDocument/2006/relationships/hyperlink" Target="mailto:karan.singh@gmail.com" TargetMode="External"/><Relationship Id="rId1" Type="http://schemas.openxmlformats.org/officeDocument/2006/relationships/hyperlink" Target="mailto:rahul.sharma@yahoo.com" TargetMode="External"/><Relationship Id="rId6" Type="http://schemas.openxmlformats.org/officeDocument/2006/relationships/hyperlink" Target="mailto:rohan.mehta@gmail.com" TargetMode="External"/><Relationship Id="rId11" Type="http://schemas.openxmlformats.org/officeDocument/2006/relationships/hyperlink" Target="mailto:meera.shah@outlook.com" TargetMode="External"/><Relationship Id="rId24" Type="http://schemas.openxmlformats.org/officeDocument/2006/relationships/hyperlink" Target="mailto:kavita.joshi@yahoo.com" TargetMode="External"/><Relationship Id="rId5" Type="http://schemas.openxmlformats.org/officeDocument/2006/relationships/hyperlink" Target="mailto:sana.khan@yahoo.com" TargetMode="External"/><Relationship Id="rId15" Type="http://schemas.openxmlformats.org/officeDocument/2006/relationships/hyperlink" Target="mailto:arbaz.khina@gmail.com" TargetMode="External"/><Relationship Id="rId23" Type="http://schemas.openxmlformats.org/officeDocument/2006/relationships/hyperlink" Target="mailto:imran.ali@gmail.com" TargetMode="External"/><Relationship Id="rId28" Type="http://schemas.openxmlformats.org/officeDocument/2006/relationships/hyperlink" Target="mailto:nisha.patel@yahoo.com" TargetMode="External"/><Relationship Id="rId10" Type="http://schemas.openxmlformats.org/officeDocument/2006/relationships/hyperlink" Target="mailto:raj.malhotra@gmail.com" TargetMode="External"/><Relationship Id="rId19" Type="http://schemas.openxmlformats.org/officeDocument/2006/relationships/hyperlink" Target="mailto:amit.verma@gmail.com" TargetMode="External"/><Relationship Id="rId4" Type="http://schemas.openxmlformats.org/officeDocument/2006/relationships/hyperlink" Target="mailto:amit.verma@gmail.com" TargetMode="External"/><Relationship Id="rId9" Type="http://schemas.openxmlformats.org/officeDocument/2006/relationships/hyperlink" Target="mailto:kavita.joshi@yahoo.com" TargetMode="External"/><Relationship Id="rId14" Type="http://schemas.openxmlformats.org/officeDocument/2006/relationships/hyperlink" Target="mailto:karan.singh@gmail.com" TargetMode="External"/><Relationship Id="rId22" Type="http://schemas.openxmlformats.org/officeDocument/2006/relationships/hyperlink" Target="mailto:pooja.desai@outlook.com" TargetMode="External"/><Relationship Id="rId27" Type="http://schemas.openxmlformats.org/officeDocument/2006/relationships/hyperlink" Target="mailto:danish.khan@gmail.com" TargetMode="External"/><Relationship Id="rId30" Type="http://schemas.openxmlformats.org/officeDocument/2006/relationships/hyperlink" Target="mailto:arbaz.khina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61D4-B513-4C35-B10F-9F8DCC8579CE}">
  <dimension ref="A1:Q21"/>
  <sheetViews>
    <sheetView topLeftCell="B1" workbookViewId="0">
      <selection activeCell="G6" sqref="G6"/>
    </sheetView>
  </sheetViews>
  <sheetFormatPr defaultRowHeight="15" x14ac:dyDescent="0.25"/>
  <cols>
    <col min="1" max="1" width="12.42578125" customWidth="1"/>
    <col min="2" max="2" width="11.7109375" customWidth="1"/>
    <col min="3" max="3" width="13.42578125" customWidth="1"/>
    <col min="4" max="4" width="12" customWidth="1"/>
    <col min="5" max="5" width="18.42578125" customWidth="1"/>
    <col min="9" max="9" width="10.85546875" customWidth="1"/>
    <col min="10" max="10" width="10.42578125" customWidth="1"/>
    <col min="11" max="11" width="10" customWidth="1"/>
    <col min="12" max="12" width="12.28515625" customWidth="1"/>
    <col min="13" max="13" width="17" customWidth="1"/>
    <col min="16" max="16" width="10.28515625" customWidth="1"/>
    <col min="17" max="17" width="12" customWidth="1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4" t="s">
        <v>0</v>
      </c>
      <c r="J1" s="5" t="s">
        <v>1</v>
      </c>
      <c r="K1" s="5" t="s">
        <v>2</v>
      </c>
      <c r="L1" s="5" t="s">
        <v>3</v>
      </c>
      <c r="M1" s="6" t="s">
        <v>4</v>
      </c>
      <c r="P1" s="13" t="s">
        <v>20</v>
      </c>
      <c r="Q1" s="13" t="s">
        <v>21</v>
      </c>
    </row>
    <row r="2" spans="1:17" x14ac:dyDescent="0.25">
      <c r="A2" s="2">
        <v>1</v>
      </c>
      <c r="B2" s="3" t="s">
        <v>5</v>
      </c>
      <c r="C2" s="2">
        <v>36</v>
      </c>
      <c r="D2" s="2">
        <v>58680</v>
      </c>
      <c r="E2" s="2" t="s">
        <v>6</v>
      </c>
      <c r="I2" s="7">
        <v>1</v>
      </c>
      <c r="J2" s="3" t="s">
        <v>5</v>
      </c>
      <c r="K2" s="2">
        <v>36</v>
      </c>
      <c r="L2" s="2">
        <v>58680</v>
      </c>
      <c r="M2" s="8" t="s">
        <v>6</v>
      </c>
      <c r="P2" s="14" t="str">
        <f>UPPER(TRIM(Table1[[#This Row],[Name]]))</f>
        <v>RAM</v>
      </c>
      <c r="Q2" s="14" t="str">
        <f>LOWER(TRIM(Table1[[#This Row],[Name]]))</f>
        <v>ram</v>
      </c>
    </row>
    <row r="3" spans="1:17" x14ac:dyDescent="0.25">
      <c r="A3" s="2">
        <v>2</v>
      </c>
      <c r="B3" s="3" t="s">
        <v>7</v>
      </c>
      <c r="C3" s="2">
        <v>24</v>
      </c>
      <c r="D3" s="2">
        <v>72652</v>
      </c>
      <c r="E3" s="2" t="s">
        <v>8</v>
      </c>
      <c r="I3" s="7">
        <v>2</v>
      </c>
      <c r="J3" s="3" t="s">
        <v>7</v>
      </c>
      <c r="K3" s="2">
        <v>24</v>
      </c>
      <c r="L3" s="2">
        <v>72652</v>
      </c>
      <c r="M3" s="8" t="s">
        <v>8</v>
      </c>
      <c r="P3" s="14" t="str">
        <f>UPPER(TRIM(Table1[[#This Row],[Name]]))</f>
        <v>SHAYAM</v>
      </c>
      <c r="Q3" s="14" t="str">
        <f>LOWER(TRIM(Table1[[#This Row],[Name]]))</f>
        <v>shayam</v>
      </c>
    </row>
    <row r="4" spans="1:17" x14ac:dyDescent="0.25">
      <c r="A4" s="2">
        <v>3</v>
      </c>
      <c r="B4" s="3" t="s">
        <v>9</v>
      </c>
      <c r="C4" s="2">
        <v>35</v>
      </c>
      <c r="D4" s="2">
        <v>68246</v>
      </c>
      <c r="E4" s="2" t="s">
        <v>8</v>
      </c>
      <c r="I4" s="7">
        <v>3</v>
      </c>
      <c r="J4" s="3" t="s">
        <v>9</v>
      </c>
      <c r="K4" s="2">
        <v>35</v>
      </c>
      <c r="L4" s="2">
        <v>68246</v>
      </c>
      <c r="M4" s="8" t="s">
        <v>8</v>
      </c>
      <c r="P4" s="14" t="str">
        <f>UPPER(TRIM(Table1[[#This Row],[Name]]))</f>
        <v>ROHAN</v>
      </c>
      <c r="Q4" s="14" t="str">
        <f>LOWER(TRIM(Table1[[#This Row],[Name]]))</f>
        <v>rohan</v>
      </c>
    </row>
    <row r="5" spans="1:17" x14ac:dyDescent="0.25">
      <c r="A5" s="2">
        <v>4</v>
      </c>
      <c r="B5" s="3" t="s">
        <v>10</v>
      </c>
      <c r="C5" s="2">
        <v>25</v>
      </c>
      <c r="D5" s="2">
        <v>32640</v>
      </c>
      <c r="E5" s="2" t="s">
        <v>11</v>
      </c>
      <c r="I5" s="7">
        <v>4</v>
      </c>
      <c r="J5" s="3" t="s">
        <v>10</v>
      </c>
      <c r="K5" s="2">
        <v>25</v>
      </c>
      <c r="L5" s="2">
        <v>32640</v>
      </c>
      <c r="M5" s="8" t="s">
        <v>11</v>
      </c>
      <c r="P5" s="14" t="str">
        <f>UPPER(TRIM(Table1[[#This Row],[Name]]))</f>
        <v>SHIVAM</v>
      </c>
      <c r="Q5" s="14" t="str">
        <f>LOWER(TRIM(Table1[[#This Row],[Name]]))</f>
        <v>shivam</v>
      </c>
    </row>
    <row r="6" spans="1:17" x14ac:dyDescent="0.25">
      <c r="A6" s="2">
        <v>5</v>
      </c>
      <c r="B6" s="3" t="s">
        <v>12</v>
      </c>
      <c r="C6" s="2">
        <v>27</v>
      </c>
      <c r="D6" s="2">
        <v>28383</v>
      </c>
      <c r="E6" s="2" t="s">
        <v>13</v>
      </c>
      <c r="I6" s="7">
        <v>5</v>
      </c>
      <c r="J6" s="3" t="s">
        <v>12</v>
      </c>
      <c r="K6" s="2">
        <v>27</v>
      </c>
      <c r="L6" s="2">
        <v>28383</v>
      </c>
      <c r="M6" s="8" t="s">
        <v>13</v>
      </c>
      <c r="P6" s="14" t="str">
        <f>UPPER(TRIM(Table1[[#This Row],[Name]]))</f>
        <v>ROHIT</v>
      </c>
      <c r="Q6" s="14" t="str">
        <f>LOWER(TRIM(Table1[[#This Row],[Name]]))</f>
        <v>rohit</v>
      </c>
    </row>
    <row r="7" spans="1:17" x14ac:dyDescent="0.25">
      <c r="A7" s="2">
        <v>6</v>
      </c>
      <c r="B7" s="3" t="s">
        <v>14</v>
      </c>
      <c r="C7" s="2">
        <v>48</v>
      </c>
      <c r="D7" s="2">
        <v>66333</v>
      </c>
      <c r="E7" s="2" t="s">
        <v>11</v>
      </c>
      <c r="I7" s="7">
        <v>6</v>
      </c>
      <c r="J7" s="3" t="s">
        <v>14</v>
      </c>
      <c r="K7" s="2">
        <v>48</v>
      </c>
      <c r="L7" s="2">
        <v>66333</v>
      </c>
      <c r="M7" s="8" t="s">
        <v>11</v>
      </c>
      <c r="P7" s="14" t="str">
        <f>UPPER(TRIM(Table1[[#This Row],[Name]]))</f>
        <v>PRIYA</v>
      </c>
      <c r="Q7" s="14" t="str">
        <f>LOWER(TRIM(Table1[[#This Row],[Name]]))</f>
        <v>priya</v>
      </c>
    </row>
    <row r="8" spans="1:17" x14ac:dyDescent="0.25">
      <c r="A8" s="2">
        <v>7</v>
      </c>
      <c r="B8" s="3" t="s">
        <v>15</v>
      </c>
      <c r="C8" s="2">
        <v>41</v>
      </c>
      <c r="D8" s="2">
        <v>41677</v>
      </c>
      <c r="E8" s="2" t="s">
        <v>11</v>
      </c>
      <c r="I8" s="7">
        <v>7</v>
      </c>
      <c r="J8" s="3" t="s">
        <v>15</v>
      </c>
      <c r="K8" s="2">
        <v>41</v>
      </c>
      <c r="L8" s="2">
        <v>41677</v>
      </c>
      <c r="M8" s="8" t="s">
        <v>11</v>
      </c>
      <c r="P8" s="14" t="str">
        <f>UPPER(TRIM(Table1[[#This Row],[Name]]))</f>
        <v>RIYA</v>
      </c>
      <c r="Q8" s="14" t="str">
        <f>LOWER(TRIM(Table1[[#This Row],[Name]]))</f>
        <v>riya</v>
      </c>
    </row>
    <row r="9" spans="1:17" x14ac:dyDescent="0.25">
      <c r="A9" s="2">
        <v>8</v>
      </c>
      <c r="B9" s="3" t="s">
        <v>16</v>
      </c>
      <c r="C9" s="2">
        <v>26</v>
      </c>
      <c r="D9" s="2">
        <v>37665</v>
      </c>
      <c r="E9" s="2" t="s">
        <v>11</v>
      </c>
      <c r="I9" s="7">
        <v>8</v>
      </c>
      <c r="J9" s="3" t="s">
        <v>16</v>
      </c>
      <c r="K9" s="2">
        <v>26</v>
      </c>
      <c r="L9" s="2">
        <v>37665</v>
      </c>
      <c r="M9" s="8" t="s">
        <v>11</v>
      </c>
      <c r="P9" s="14" t="str">
        <f>UPPER(TRIM(Table1[[#This Row],[Name]]))</f>
        <v>SHIVANI</v>
      </c>
      <c r="Q9" s="14" t="str">
        <f>LOWER(TRIM(Table1[[#This Row],[Name]]))</f>
        <v>shivani</v>
      </c>
    </row>
    <row r="10" spans="1:17" x14ac:dyDescent="0.25">
      <c r="A10" s="2">
        <v>9</v>
      </c>
      <c r="B10" s="3" t="s">
        <v>17</v>
      </c>
      <c r="C10" s="2">
        <v>28</v>
      </c>
      <c r="D10" s="2">
        <v>76949</v>
      </c>
      <c r="E10" s="2" t="s">
        <v>8</v>
      </c>
      <c r="I10" s="7">
        <v>9</v>
      </c>
      <c r="J10" s="3" t="s">
        <v>17</v>
      </c>
      <c r="K10" s="2">
        <v>28</v>
      </c>
      <c r="L10" s="2">
        <v>76949</v>
      </c>
      <c r="M10" s="8" t="s">
        <v>8</v>
      </c>
      <c r="P10" s="14" t="str">
        <f>UPPER(TRIM(Table1[[#This Row],[Name]]))</f>
        <v>ANU</v>
      </c>
      <c r="Q10" s="14" t="str">
        <f>LOWER(TRIM(Table1[[#This Row],[Name]]))</f>
        <v>anu</v>
      </c>
    </row>
    <row r="11" spans="1:17" x14ac:dyDescent="0.25">
      <c r="A11" s="2">
        <v>10</v>
      </c>
      <c r="B11" s="3" t="s">
        <v>5</v>
      </c>
      <c r="C11" s="2">
        <v>21</v>
      </c>
      <c r="D11" s="2">
        <v>63746</v>
      </c>
      <c r="E11" s="2" t="s">
        <v>8</v>
      </c>
      <c r="I11" s="7">
        <v>10</v>
      </c>
      <c r="J11" s="3" t="s">
        <v>5</v>
      </c>
      <c r="K11" s="2">
        <v>21</v>
      </c>
      <c r="L11" s="2">
        <v>63746</v>
      </c>
      <c r="M11" s="8" t="s">
        <v>8</v>
      </c>
      <c r="P11" s="14" t="str">
        <f>UPPER(TRIM(Table1[[#This Row],[Name]]))</f>
        <v>RAM</v>
      </c>
      <c r="Q11" s="14" t="str">
        <f>LOWER(TRIM(Table1[[#This Row],[Name]]))</f>
        <v>ram</v>
      </c>
    </row>
    <row r="12" spans="1:17" x14ac:dyDescent="0.25">
      <c r="A12" s="2">
        <v>11</v>
      </c>
      <c r="B12" s="3" t="s">
        <v>7</v>
      </c>
      <c r="C12" s="2">
        <v>33</v>
      </c>
      <c r="D12" s="2">
        <v>36005</v>
      </c>
      <c r="E12" s="2" t="s">
        <v>13</v>
      </c>
      <c r="I12" s="7">
        <v>11</v>
      </c>
      <c r="J12" s="3" t="s">
        <v>7</v>
      </c>
      <c r="K12" s="2">
        <v>33</v>
      </c>
      <c r="L12" s="2">
        <v>36005</v>
      </c>
      <c r="M12" s="8" t="s">
        <v>13</v>
      </c>
      <c r="P12" s="14" t="str">
        <f>UPPER(TRIM(Table1[[#This Row],[Name]]))</f>
        <v>SHAYAM</v>
      </c>
      <c r="Q12" s="14" t="str">
        <f>LOWER(TRIM(Table1[[#This Row],[Name]]))</f>
        <v>shayam</v>
      </c>
    </row>
    <row r="13" spans="1:17" x14ac:dyDescent="0.25">
      <c r="A13" s="2">
        <v>12</v>
      </c>
      <c r="B13" s="3" t="s">
        <v>9</v>
      </c>
      <c r="C13" s="2">
        <v>42</v>
      </c>
      <c r="D13" s="2">
        <v>38399</v>
      </c>
      <c r="E13" s="2" t="s">
        <v>11</v>
      </c>
      <c r="I13" s="7">
        <v>12</v>
      </c>
      <c r="J13" s="3" t="s">
        <v>9</v>
      </c>
      <c r="K13" s="2">
        <v>42</v>
      </c>
      <c r="L13" s="2">
        <v>38399</v>
      </c>
      <c r="M13" s="8" t="s">
        <v>11</v>
      </c>
      <c r="P13" s="14" t="str">
        <f>UPPER(TRIM(Table1[[#This Row],[Name]]))</f>
        <v>ROHAN</v>
      </c>
      <c r="Q13" s="14" t="str">
        <f>LOWER(TRIM(Table1[[#This Row],[Name]]))</f>
        <v>rohan</v>
      </c>
    </row>
    <row r="14" spans="1:17" x14ac:dyDescent="0.25">
      <c r="A14" s="2">
        <v>13</v>
      </c>
      <c r="B14" s="3" t="s">
        <v>10</v>
      </c>
      <c r="C14" s="2">
        <v>49</v>
      </c>
      <c r="D14" s="2">
        <v>73736</v>
      </c>
      <c r="E14" s="2" t="s">
        <v>11</v>
      </c>
      <c r="I14" s="7">
        <v>13</v>
      </c>
      <c r="J14" s="3" t="s">
        <v>10</v>
      </c>
      <c r="K14" s="2">
        <v>49</v>
      </c>
      <c r="L14" s="2">
        <v>73736</v>
      </c>
      <c r="M14" s="8" t="s">
        <v>11</v>
      </c>
      <c r="P14" s="14" t="str">
        <f>UPPER(TRIM(Table1[[#This Row],[Name]]))</f>
        <v>SHIVAM</v>
      </c>
      <c r="Q14" s="14" t="str">
        <f>LOWER(TRIM(Table1[[#This Row],[Name]]))</f>
        <v>shivam</v>
      </c>
    </row>
    <row r="15" spans="1:17" x14ac:dyDescent="0.25">
      <c r="A15" s="2">
        <v>14</v>
      </c>
      <c r="B15" s="3" t="s">
        <v>12</v>
      </c>
      <c r="C15" s="2">
        <v>28</v>
      </c>
      <c r="D15" s="2">
        <v>77148</v>
      </c>
      <c r="E15" s="2" t="s">
        <v>6</v>
      </c>
      <c r="I15" s="7">
        <v>14</v>
      </c>
      <c r="J15" s="3" t="s">
        <v>12</v>
      </c>
      <c r="K15" s="2">
        <v>28</v>
      </c>
      <c r="L15" s="2">
        <v>77148</v>
      </c>
      <c r="M15" s="8" t="s">
        <v>6</v>
      </c>
      <c r="P15" s="14" t="str">
        <f>UPPER(TRIM(Table1[[#This Row],[Name]]))</f>
        <v>ROHIT</v>
      </c>
      <c r="Q15" s="14" t="str">
        <f>LOWER(TRIM(Table1[[#This Row],[Name]]))</f>
        <v>rohit</v>
      </c>
    </row>
    <row r="16" spans="1:17" x14ac:dyDescent="0.25">
      <c r="A16" s="2">
        <v>15</v>
      </c>
      <c r="B16" s="3" t="s">
        <v>14</v>
      </c>
      <c r="C16" s="2">
        <v>28</v>
      </c>
      <c r="D16" s="2">
        <v>56181</v>
      </c>
      <c r="E16" s="2" t="s">
        <v>11</v>
      </c>
      <c r="I16" s="7">
        <v>15</v>
      </c>
      <c r="J16" s="3" t="s">
        <v>14</v>
      </c>
      <c r="K16" s="2">
        <v>28</v>
      </c>
      <c r="L16" s="2">
        <v>56181</v>
      </c>
      <c r="M16" s="8" t="s">
        <v>11</v>
      </c>
      <c r="P16" s="14" t="str">
        <f>UPPER(TRIM(Table1[[#This Row],[Name]]))</f>
        <v>PRIYA</v>
      </c>
      <c r="Q16" s="14" t="str">
        <f>LOWER(TRIM(Table1[[#This Row],[Name]]))</f>
        <v>priya</v>
      </c>
    </row>
    <row r="17" spans="1:17" x14ac:dyDescent="0.25">
      <c r="A17" s="2">
        <v>16</v>
      </c>
      <c r="B17" s="3" t="s">
        <v>15</v>
      </c>
      <c r="C17" s="2">
        <v>30</v>
      </c>
      <c r="D17" s="2">
        <v>47270</v>
      </c>
      <c r="E17" s="2" t="s">
        <v>13</v>
      </c>
      <c r="I17" s="7">
        <v>16</v>
      </c>
      <c r="J17" s="3" t="s">
        <v>15</v>
      </c>
      <c r="K17" s="2">
        <v>30</v>
      </c>
      <c r="L17" s="2">
        <v>47270</v>
      </c>
      <c r="M17" s="8" t="s">
        <v>13</v>
      </c>
      <c r="P17" s="14" t="str">
        <f>UPPER(TRIM(Table1[[#This Row],[Name]]))</f>
        <v>RIYA</v>
      </c>
      <c r="Q17" s="14" t="str">
        <f>LOWER(TRIM(Table1[[#This Row],[Name]]))</f>
        <v>riya</v>
      </c>
    </row>
    <row r="18" spans="1:17" x14ac:dyDescent="0.25">
      <c r="A18" s="2">
        <v>17</v>
      </c>
      <c r="B18" s="3" t="s">
        <v>16</v>
      </c>
      <c r="C18" s="2">
        <v>23</v>
      </c>
      <c r="D18" s="2">
        <v>71704</v>
      </c>
      <c r="E18" s="2" t="s">
        <v>13</v>
      </c>
      <c r="I18" s="7">
        <v>17</v>
      </c>
      <c r="J18" s="3" t="s">
        <v>16</v>
      </c>
      <c r="K18" s="2">
        <v>23</v>
      </c>
      <c r="L18" s="2">
        <v>71704</v>
      </c>
      <c r="M18" s="8" t="s">
        <v>13</v>
      </c>
      <c r="P18" s="14" t="str">
        <f>UPPER(TRIM(Table1[[#This Row],[Name]]))</f>
        <v>SHIVANI</v>
      </c>
      <c r="Q18" s="14" t="str">
        <f>LOWER(TRIM(Table1[[#This Row],[Name]]))</f>
        <v>shivani</v>
      </c>
    </row>
    <row r="19" spans="1:17" x14ac:dyDescent="0.25">
      <c r="A19" s="2">
        <v>18</v>
      </c>
      <c r="B19" s="3" t="s">
        <v>17</v>
      </c>
      <c r="C19" s="2">
        <v>50</v>
      </c>
      <c r="D19" s="2">
        <v>55857</v>
      </c>
      <c r="E19" s="2" t="s">
        <v>6</v>
      </c>
      <c r="I19" s="7">
        <v>18</v>
      </c>
      <c r="J19" s="3" t="s">
        <v>17</v>
      </c>
      <c r="K19" s="2">
        <v>50</v>
      </c>
      <c r="L19" s="2">
        <v>55857</v>
      </c>
      <c r="M19" s="8" t="s">
        <v>6</v>
      </c>
      <c r="P19" s="14" t="str">
        <f>UPPER(TRIM(Table1[[#This Row],[Name]]))</f>
        <v>ANU</v>
      </c>
      <c r="Q19" s="14" t="str">
        <f>LOWER(TRIM(Table1[[#This Row],[Name]]))</f>
        <v>anu</v>
      </c>
    </row>
    <row r="20" spans="1:17" x14ac:dyDescent="0.25">
      <c r="A20" s="2">
        <v>19</v>
      </c>
      <c r="B20" s="3" t="s">
        <v>18</v>
      </c>
      <c r="C20" s="2">
        <v>49</v>
      </c>
      <c r="D20" s="2">
        <v>39625</v>
      </c>
      <c r="E20" s="2" t="s">
        <v>8</v>
      </c>
      <c r="I20" s="7">
        <v>19</v>
      </c>
      <c r="J20" s="3" t="s">
        <v>18</v>
      </c>
      <c r="K20" s="2">
        <v>49</v>
      </c>
      <c r="L20" s="2">
        <v>39625</v>
      </c>
      <c r="M20" s="8" t="s">
        <v>8</v>
      </c>
      <c r="P20" s="14" t="str">
        <f>UPPER(TRIM(Table1[[#This Row],[Name]]))</f>
        <v>VIRAT</v>
      </c>
      <c r="Q20" s="14" t="str">
        <f>LOWER(TRIM(Table1[[#This Row],[Name]]))</f>
        <v>virat</v>
      </c>
    </row>
    <row r="21" spans="1:17" x14ac:dyDescent="0.25">
      <c r="A21" s="2">
        <v>20</v>
      </c>
      <c r="B21" s="3" t="s">
        <v>19</v>
      </c>
      <c r="C21" s="2">
        <v>29</v>
      </c>
      <c r="D21" s="2">
        <v>73951</v>
      </c>
      <c r="E21" s="2" t="s">
        <v>11</v>
      </c>
      <c r="I21" s="9">
        <v>20</v>
      </c>
      <c r="J21" s="10" t="s">
        <v>19</v>
      </c>
      <c r="K21" s="11">
        <v>29</v>
      </c>
      <c r="L21" s="11">
        <v>73951</v>
      </c>
      <c r="M21" s="12" t="s">
        <v>11</v>
      </c>
      <c r="P21" s="14" t="str">
        <f>UPPER(TRIM(Table1[[#This Row],[Name]]))</f>
        <v>HET</v>
      </c>
      <c r="Q21" s="14" t="str">
        <f>LOWER(TRIM(Table1[[#This Row],[Name]]))</f>
        <v>het</v>
      </c>
    </row>
  </sheetData>
  <autoFilter ref="A1:E1" xr:uid="{509D61D4-B513-4C35-B10F-9F8DCC8579CE}"/>
  <conditionalFormatting sqref="D2:D21">
    <cfRule type="cellIs" dxfId="2" priority="3" operator="greaterThan">
      <formula>50000</formula>
    </cfRule>
  </conditionalFormatting>
  <conditionalFormatting sqref="C2:C21">
    <cfRule type="cellIs" dxfId="1" priority="2" operator="lessThan">
      <formula>35</formula>
    </cfRule>
  </conditionalFormatting>
  <conditionalFormatting sqref="E2:E21">
    <cfRule type="containsText" dxfId="0" priority="1" operator="containsText" text="IT">
      <formula>NOT(ISERROR(SEARCH("IT",E2)))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5BB5-2697-4550-B4FE-F54174398356}">
  <dimension ref="D4:Q32"/>
  <sheetViews>
    <sheetView workbookViewId="0">
      <selection activeCell="F17" sqref="F17"/>
    </sheetView>
  </sheetViews>
  <sheetFormatPr defaultRowHeight="15" x14ac:dyDescent="0.25"/>
  <cols>
    <col min="16" max="16" width="17.5703125" bestFit="1" customWidth="1"/>
  </cols>
  <sheetData>
    <row r="4" spans="4:17" ht="20.25" x14ac:dyDescent="0.3">
      <c r="D4" s="15" t="s">
        <v>22</v>
      </c>
      <c r="E4" s="15"/>
      <c r="F4" s="15"/>
      <c r="J4" s="15" t="s">
        <v>23</v>
      </c>
      <c r="K4" s="15"/>
      <c r="L4" s="15"/>
      <c r="O4" s="15" t="s">
        <v>24</v>
      </c>
      <c r="P4" s="15"/>
      <c r="Q4" s="15"/>
    </row>
    <row r="7" spans="4:17" x14ac:dyDescent="0.25">
      <c r="E7" s="16" t="s">
        <v>25</v>
      </c>
      <c r="K7" s="20" t="s">
        <v>29</v>
      </c>
      <c r="P7">
        <v>500</v>
      </c>
    </row>
    <row r="9" spans="4:17" x14ac:dyDescent="0.25">
      <c r="P9" s="26">
        <v>500</v>
      </c>
    </row>
    <row r="10" spans="4:17" x14ac:dyDescent="0.25">
      <c r="E10" s="17" t="s">
        <v>26</v>
      </c>
      <c r="K10" s="22" t="s">
        <v>25</v>
      </c>
    </row>
    <row r="11" spans="4:17" x14ac:dyDescent="0.25">
      <c r="P11" s="27">
        <v>500</v>
      </c>
    </row>
    <row r="12" spans="4:17" x14ac:dyDescent="0.25">
      <c r="E12" s="18" t="s">
        <v>27</v>
      </c>
    </row>
    <row r="13" spans="4:17" x14ac:dyDescent="0.25">
      <c r="K13" s="22" t="s">
        <v>30</v>
      </c>
      <c r="P13" s="36">
        <v>500</v>
      </c>
    </row>
    <row r="15" spans="4:17" x14ac:dyDescent="0.25">
      <c r="E15" s="19" t="s">
        <v>28</v>
      </c>
      <c r="K15" s="21" t="s">
        <v>31</v>
      </c>
      <c r="P15" s="28">
        <v>36831</v>
      </c>
      <c r="Q15" s="27"/>
    </row>
    <row r="17" spans="5:16" ht="125.25" x14ac:dyDescent="0.4">
      <c r="E17" s="24" t="s">
        <v>33</v>
      </c>
      <c r="K17" s="23" t="s">
        <v>32</v>
      </c>
      <c r="P17" s="29">
        <v>36831</v>
      </c>
    </row>
    <row r="20" spans="5:16" ht="76.5" x14ac:dyDescent="0.25">
      <c r="K20" s="25" t="s">
        <v>34</v>
      </c>
      <c r="P20" s="30">
        <f ca="1">NOW()</f>
        <v>46243.57467465278</v>
      </c>
    </row>
    <row r="22" spans="5:16" x14ac:dyDescent="0.25">
      <c r="P22" s="31">
        <v>0.5</v>
      </c>
    </row>
    <row r="24" spans="5:16" x14ac:dyDescent="0.25">
      <c r="P24" s="32">
        <v>0.8</v>
      </c>
    </row>
    <row r="26" spans="5:16" x14ac:dyDescent="0.25">
      <c r="P26" s="33">
        <v>700.56</v>
      </c>
    </row>
    <row r="28" spans="5:16" x14ac:dyDescent="0.25">
      <c r="P28" s="34">
        <v>7005.23</v>
      </c>
    </row>
    <row r="30" spans="5:16" x14ac:dyDescent="0.25">
      <c r="P30" s="37">
        <v>500</v>
      </c>
    </row>
    <row r="32" spans="5:16" x14ac:dyDescent="0.25">
      <c r="H32" s="35"/>
      <c r="P32" s="38">
        <v>5</v>
      </c>
    </row>
  </sheetData>
  <mergeCells count="3">
    <mergeCell ref="D4:F4"/>
    <mergeCell ref="J4:L4"/>
    <mergeCell ref="O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0A55-D162-4F65-98DF-442C13DBF90A}">
  <dimension ref="A1:F11"/>
  <sheetViews>
    <sheetView workbookViewId="0">
      <selection activeCell="H19" sqref="H19"/>
    </sheetView>
  </sheetViews>
  <sheetFormatPr defaultRowHeight="15" x14ac:dyDescent="0.25"/>
  <cols>
    <col min="1" max="1" width="12.85546875" customWidth="1"/>
    <col min="2" max="2" width="14.7109375" customWidth="1"/>
  </cols>
  <sheetData>
    <row r="1" spans="1:6" x14ac:dyDescent="0.25">
      <c r="A1" s="39" t="s">
        <v>1</v>
      </c>
      <c r="B1" s="39" t="s">
        <v>35</v>
      </c>
    </row>
    <row r="2" spans="1:6" x14ac:dyDescent="0.25">
      <c r="A2" s="40" t="s">
        <v>36</v>
      </c>
      <c r="B2" s="40">
        <v>44</v>
      </c>
      <c r="E2" s="39" t="s">
        <v>39</v>
      </c>
      <c r="F2" s="40">
        <f>SUM(B2:B11)</f>
        <v>417</v>
      </c>
    </row>
    <row r="3" spans="1:6" x14ac:dyDescent="0.25">
      <c r="A3" s="40" t="s">
        <v>9</v>
      </c>
      <c r="B3" s="40">
        <v>63</v>
      </c>
      <c r="E3" s="39" t="s">
        <v>40</v>
      </c>
      <c r="F3" s="40">
        <f>AVERAGE(B2:B11)</f>
        <v>41.7</v>
      </c>
    </row>
    <row r="4" spans="1:6" x14ac:dyDescent="0.25">
      <c r="A4" s="40" t="s">
        <v>9</v>
      </c>
      <c r="B4" s="40">
        <v>22</v>
      </c>
      <c r="E4" s="39" t="s">
        <v>41</v>
      </c>
      <c r="F4" s="40">
        <f>MIN(B2:B11)</f>
        <v>22</v>
      </c>
    </row>
    <row r="5" spans="1:6" x14ac:dyDescent="0.25">
      <c r="A5" s="40" t="s">
        <v>37</v>
      </c>
      <c r="B5" s="40">
        <v>69</v>
      </c>
      <c r="E5" s="39" t="s">
        <v>42</v>
      </c>
      <c r="F5" s="40">
        <f>MAX(B2:B11)</f>
        <v>69</v>
      </c>
    </row>
    <row r="6" spans="1:6" x14ac:dyDescent="0.25">
      <c r="A6" s="40" t="s">
        <v>37</v>
      </c>
      <c r="B6" s="40">
        <v>26</v>
      </c>
      <c r="E6" s="39" t="s">
        <v>43</v>
      </c>
      <c r="F6" s="40">
        <f>COUNT(B2:B11)</f>
        <v>10</v>
      </c>
    </row>
    <row r="7" spans="1:6" x14ac:dyDescent="0.25">
      <c r="A7" s="40" t="s">
        <v>36</v>
      </c>
      <c r="B7" s="40">
        <v>31</v>
      </c>
      <c r="E7" s="41" t="s">
        <v>44</v>
      </c>
      <c r="F7" s="40">
        <f>COUNTA(A2:A11)</f>
        <v>10</v>
      </c>
    </row>
    <row r="8" spans="1:6" x14ac:dyDescent="0.25">
      <c r="A8" s="40" t="s">
        <v>36</v>
      </c>
      <c r="B8" s="40">
        <v>24</v>
      </c>
    </row>
    <row r="9" spans="1:6" x14ac:dyDescent="0.25">
      <c r="A9" s="40" t="s">
        <v>9</v>
      </c>
      <c r="B9" s="40">
        <v>55</v>
      </c>
    </row>
    <row r="10" spans="1:6" x14ac:dyDescent="0.25">
      <c r="A10" s="40" t="s">
        <v>38</v>
      </c>
      <c r="B10" s="40">
        <v>53</v>
      </c>
    </row>
    <row r="11" spans="1:6" x14ac:dyDescent="0.25">
      <c r="A11" s="40" t="s">
        <v>9</v>
      </c>
      <c r="B11" s="40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397F-B341-4983-9213-88F93E454878}">
  <dimension ref="A1:O46"/>
  <sheetViews>
    <sheetView topLeftCell="B1" zoomScale="59" zoomScaleNormal="59" workbookViewId="0">
      <selection activeCell="E40" sqref="E40"/>
    </sheetView>
  </sheetViews>
  <sheetFormatPr defaultRowHeight="15" x14ac:dyDescent="0.25"/>
  <cols>
    <col min="1" max="1" width="20.42578125" customWidth="1"/>
    <col min="2" max="2" width="27.42578125" customWidth="1"/>
    <col min="3" max="3" width="30.28515625" customWidth="1"/>
    <col min="4" max="4" width="29" customWidth="1"/>
    <col min="5" max="5" width="21.28515625" customWidth="1"/>
    <col min="6" max="6" width="19.7109375" customWidth="1"/>
    <col min="7" max="7" width="22.42578125" customWidth="1"/>
    <col min="8" max="8" width="21.28515625" customWidth="1"/>
    <col min="10" max="10" width="17.85546875" customWidth="1"/>
    <col min="13" max="13" width="32.5703125" customWidth="1"/>
    <col min="14" max="14" width="28.140625" customWidth="1"/>
    <col min="15" max="15" width="16.140625" customWidth="1"/>
  </cols>
  <sheetData>
    <row r="1" spans="1:14" ht="21" x14ac:dyDescent="0.35">
      <c r="A1" s="42" t="s">
        <v>45</v>
      </c>
      <c r="B1" s="42" t="s">
        <v>58</v>
      </c>
      <c r="C1" s="42" t="s">
        <v>190</v>
      </c>
      <c r="D1" s="42" t="s">
        <v>58</v>
      </c>
      <c r="E1" s="42" t="s">
        <v>69</v>
      </c>
      <c r="G1" s="44"/>
    </row>
    <row r="2" spans="1:14" ht="21" x14ac:dyDescent="0.35">
      <c r="A2" s="43" t="s">
        <v>9</v>
      </c>
      <c r="B2" s="43" t="s">
        <v>9</v>
      </c>
      <c r="C2" s="43" t="s">
        <v>46</v>
      </c>
      <c r="D2" s="40" t="s">
        <v>59</v>
      </c>
      <c r="E2" s="40" t="str">
        <f>_xlfn.CONCAT(B2,C2)</f>
        <v>RohanPatel</v>
      </c>
      <c r="G2" s="43"/>
    </row>
    <row r="3" spans="1:14" ht="21" x14ac:dyDescent="0.35">
      <c r="A3" s="43" t="s">
        <v>12</v>
      </c>
      <c r="B3" s="43" t="s">
        <v>12</v>
      </c>
      <c r="C3" s="43" t="s">
        <v>47</v>
      </c>
      <c r="D3" s="40" t="s">
        <v>60</v>
      </c>
      <c r="E3" s="40" t="str">
        <f t="shared" ref="E3:E11" si="0">_xlfn.CONCAT(B3,C3)</f>
        <v>RohitSharma</v>
      </c>
      <c r="G3" s="43"/>
    </row>
    <row r="4" spans="1:14" ht="21" x14ac:dyDescent="0.35">
      <c r="A4" s="43" t="s">
        <v>10</v>
      </c>
      <c r="B4" s="43" t="s">
        <v>10</v>
      </c>
      <c r="C4" s="43" t="s">
        <v>48</v>
      </c>
      <c r="D4" s="40" t="s">
        <v>61</v>
      </c>
      <c r="E4" s="40" t="str">
        <f t="shared" si="0"/>
        <v>ShivamSoni</v>
      </c>
      <c r="G4" s="43"/>
    </row>
    <row r="5" spans="1:14" ht="21" x14ac:dyDescent="0.35">
      <c r="A5" s="43" t="s">
        <v>18</v>
      </c>
      <c r="B5" s="43" t="s">
        <v>18</v>
      </c>
      <c r="C5" s="43" t="s">
        <v>49</v>
      </c>
      <c r="D5" s="40" t="s">
        <v>62</v>
      </c>
      <c r="E5" s="40" t="str">
        <f t="shared" si="0"/>
        <v>ViratKohli</v>
      </c>
      <c r="G5" s="43"/>
    </row>
    <row r="6" spans="1:14" ht="21" x14ac:dyDescent="0.35">
      <c r="A6" s="43" t="s">
        <v>50</v>
      </c>
      <c r="B6" s="43" t="s">
        <v>50</v>
      </c>
      <c r="C6" s="43" t="s">
        <v>51</v>
      </c>
      <c r="D6" s="40" t="s">
        <v>63</v>
      </c>
      <c r="E6" s="40" t="str">
        <f t="shared" si="0"/>
        <v>RahulKumar</v>
      </c>
      <c r="G6" s="43"/>
    </row>
    <row r="7" spans="1:14" ht="21" x14ac:dyDescent="0.35">
      <c r="A7" s="43" t="s">
        <v>38</v>
      </c>
      <c r="B7" s="43" t="s">
        <v>38</v>
      </c>
      <c r="C7" s="43" t="s">
        <v>52</v>
      </c>
      <c r="D7" s="40" t="s">
        <v>64</v>
      </c>
      <c r="E7" s="40" t="str">
        <f t="shared" si="0"/>
        <v>MeetShah</v>
      </c>
      <c r="G7" s="43"/>
    </row>
    <row r="8" spans="1:14" ht="21" x14ac:dyDescent="0.35">
      <c r="A8" s="43" t="s">
        <v>53</v>
      </c>
      <c r="B8" s="43" t="s">
        <v>53</v>
      </c>
      <c r="C8" s="43" t="s">
        <v>54</v>
      </c>
      <c r="D8" s="40" t="s">
        <v>65</v>
      </c>
      <c r="E8" s="40" t="str">
        <f t="shared" si="0"/>
        <v>GauravKapoor</v>
      </c>
      <c r="G8" s="43"/>
    </row>
    <row r="9" spans="1:14" ht="21" x14ac:dyDescent="0.35">
      <c r="A9" s="43" t="s">
        <v>36</v>
      </c>
      <c r="B9" s="43" t="s">
        <v>36</v>
      </c>
      <c r="C9" s="43" t="s">
        <v>46</v>
      </c>
      <c r="D9" s="40" t="s">
        <v>66</v>
      </c>
      <c r="E9" s="40" t="str">
        <f t="shared" si="0"/>
        <v>JiyaPatel</v>
      </c>
      <c r="G9" s="43"/>
    </row>
    <row r="10" spans="1:14" ht="21" x14ac:dyDescent="0.35">
      <c r="A10" s="43" t="s">
        <v>55</v>
      </c>
      <c r="B10" s="43" t="s">
        <v>55</v>
      </c>
      <c r="C10" s="43" t="s">
        <v>52</v>
      </c>
      <c r="D10" s="40" t="s">
        <v>67</v>
      </c>
      <c r="E10" s="40" t="str">
        <f t="shared" si="0"/>
        <v>KashviShah</v>
      </c>
      <c r="G10" s="43"/>
    </row>
    <row r="11" spans="1:14" ht="21" x14ac:dyDescent="0.35">
      <c r="A11" s="43" t="s">
        <v>56</v>
      </c>
      <c r="B11" s="43" t="s">
        <v>56</v>
      </c>
      <c r="C11" s="43" t="s">
        <v>57</v>
      </c>
      <c r="D11" s="40" t="s">
        <v>68</v>
      </c>
      <c r="E11" s="40" t="str">
        <f t="shared" si="0"/>
        <v>AdityaThakkar</v>
      </c>
      <c r="G11" s="43"/>
    </row>
    <row r="14" spans="1:14" ht="21" x14ac:dyDescent="0.35">
      <c r="A14" s="42" t="s">
        <v>73</v>
      </c>
      <c r="B14" s="42" t="s">
        <v>74</v>
      </c>
      <c r="C14" s="42" t="s">
        <v>75</v>
      </c>
      <c r="D14" s="42" t="s">
        <v>76</v>
      </c>
      <c r="E14" s="42" t="s">
        <v>77</v>
      </c>
      <c r="F14" s="42" t="s">
        <v>78</v>
      </c>
      <c r="G14" s="42" t="s">
        <v>79</v>
      </c>
      <c r="H14" s="42" t="s">
        <v>80</v>
      </c>
    </row>
    <row r="15" spans="1:14" ht="21" x14ac:dyDescent="0.35">
      <c r="A15" s="43">
        <v>101</v>
      </c>
      <c r="B15" s="43" t="s">
        <v>81</v>
      </c>
      <c r="C15" s="43" t="s">
        <v>82</v>
      </c>
      <c r="D15" s="47" t="s">
        <v>189</v>
      </c>
      <c r="E15" s="43">
        <f>91-9876543210</f>
        <v>-9876543119</v>
      </c>
      <c r="F15" s="43" t="s">
        <v>83</v>
      </c>
      <c r="G15" s="43" t="s">
        <v>84</v>
      </c>
      <c r="H15" s="43" t="s">
        <v>85</v>
      </c>
      <c r="J15" s="43" t="s">
        <v>166</v>
      </c>
      <c r="K15" s="46" t="s">
        <v>167</v>
      </c>
      <c r="M15" s="43" t="s">
        <v>168</v>
      </c>
      <c r="N15" s="43" t="s">
        <v>169</v>
      </c>
    </row>
    <row r="16" spans="1:14" ht="21" x14ac:dyDescent="0.35">
      <c r="A16" s="43">
        <v>102</v>
      </c>
      <c r="B16" s="43" t="s">
        <v>86</v>
      </c>
      <c r="C16" s="43" t="s">
        <v>87</v>
      </c>
      <c r="D16" s="43" t="s">
        <v>88</v>
      </c>
      <c r="E16" s="43">
        <f>91-9876543211</f>
        <v>-9876543120</v>
      </c>
      <c r="F16" s="43" t="s">
        <v>89</v>
      </c>
      <c r="G16" s="43" t="s">
        <v>90</v>
      </c>
      <c r="H16" s="43" t="s">
        <v>91</v>
      </c>
      <c r="J16" s="43" t="s">
        <v>50</v>
      </c>
      <c r="K16" s="46" t="s">
        <v>47</v>
      </c>
      <c r="M16" s="43" t="s">
        <v>170</v>
      </c>
      <c r="N16" s="43" t="s">
        <v>171</v>
      </c>
    </row>
    <row r="17" spans="1:15" ht="21" x14ac:dyDescent="0.35">
      <c r="A17" s="43">
        <v>103</v>
      </c>
      <c r="B17" s="43" t="s">
        <v>92</v>
      </c>
      <c r="C17" s="43" t="s">
        <v>93</v>
      </c>
      <c r="D17" s="43" t="s">
        <v>94</v>
      </c>
      <c r="E17" s="43">
        <f>91-9876543212</f>
        <v>-9876543121</v>
      </c>
      <c r="F17" s="43" t="s">
        <v>95</v>
      </c>
      <c r="G17" s="43" t="s">
        <v>96</v>
      </c>
      <c r="H17" s="43" t="s">
        <v>97</v>
      </c>
      <c r="J17" s="43" t="s">
        <v>14</v>
      </c>
      <c r="K17" s="46" t="s">
        <v>46</v>
      </c>
      <c r="M17" s="43" t="s">
        <v>172</v>
      </c>
      <c r="N17" s="43" t="s">
        <v>169</v>
      </c>
    </row>
    <row r="18" spans="1:15" ht="21" x14ac:dyDescent="0.35">
      <c r="A18" s="43">
        <v>104</v>
      </c>
      <c r="B18" s="43" t="s">
        <v>98</v>
      </c>
      <c r="C18" s="43" t="s">
        <v>99</v>
      </c>
      <c r="D18" s="43" t="s">
        <v>100</v>
      </c>
      <c r="E18" s="43">
        <f>91-9876543213</f>
        <v>-9876543122</v>
      </c>
      <c r="F18" s="43" t="s">
        <v>101</v>
      </c>
      <c r="G18" s="43" t="s">
        <v>102</v>
      </c>
      <c r="H18" s="43" t="s">
        <v>103</v>
      </c>
      <c r="J18" s="43" t="s">
        <v>98</v>
      </c>
      <c r="M18" s="43" t="s">
        <v>173</v>
      </c>
      <c r="N18" s="43" t="s">
        <v>169</v>
      </c>
    </row>
    <row r="19" spans="1:15" ht="21" x14ac:dyDescent="0.35">
      <c r="A19" s="43">
        <v>105</v>
      </c>
      <c r="B19" s="43" t="s">
        <v>104</v>
      </c>
      <c r="C19" s="43" t="s">
        <v>105</v>
      </c>
      <c r="D19" s="43" t="s">
        <v>106</v>
      </c>
      <c r="E19" s="43">
        <f>91-9876543214</f>
        <v>-9876543123</v>
      </c>
      <c r="F19" s="43" t="s">
        <v>107</v>
      </c>
      <c r="G19" s="43" t="s">
        <v>108</v>
      </c>
      <c r="H19" s="43" t="s">
        <v>109</v>
      </c>
      <c r="J19" s="43" t="s">
        <v>104</v>
      </c>
      <c r="M19" s="43" t="s">
        <v>174</v>
      </c>
      <c r="N19" s="43" t="s">
        <v>174</v>
      </c>
    </row>
    <row r="20" spans="1:15" ht="21" x14ac:dyDescent="0.35">
      <c r="A20" s="43">
        <v>106</v>
      </c>
      <c r="B20" s="43" t="s">
        <v>110</v>
      </c>
      <c r="C20" s="43" t="s">
        <v>111</v>
      </c>
      <c r="D20" s="43" t="s">
        <v>112</v>
      </c>
      <c r="E20" s="43">
        <f>91-9876543215</f>
        <v>-9876543124</v>
      </c>
      <c r="F20" s="43" t="s">
        <v>113</v>
      </c>
      <c r="G20" s="43" t="s">
        <v>114</v>
      </c>
      <c r="H20" s="43" t="s">
        <v>115</v>
      </c>
      <c r="J20" s="43" t="s">
        <v>110</v>
      </c>
      <c r="M20" s="43" t="s">
        <v>175</v>
      </c>
      <c r="N20" s="43" t="s">
        <v>176</v>
      </c>
    </row>
    <row r="21" spans="1:15" ht="21" x14ac:dyDescent="0.35">
      <c r="A21" s="43">
        <v>107</v>
      </c>
      <c r="B21" s="43" t="s">
        <v>116</v>
      </c>
      <c r="C21" s="43" t="s">
        <v>117</v>
      </c>
      <c r="D21" s="43" t="s">
        <v>118</v>
      </c>
      <c r="E21" s="43">
        <f>91-9876543216</f>
        <v>-9876543125</v>
      </c>
      <c r="F21" s="43" t="s">
        <v>119</v>
      </c>
      <c r="G21" s="43" t="s">
        <v>120</v>
      </c>
      <c r="H21" s="43" t="s">
        <v>121</v>
      </c>
      <c r="J21" s="43" t="s">
        <v>116</v>
      </c>
      <c r="M21" s="43" t="s">
        <v>177</v>
      </c>
      <c r="N21" s="43" t="s">
        <v>171</v>
      </c>
    </row>
    <row r="22" spans="1:15" ht="21" x14ac:dyDescent="0.35">
      <c r="A22" s="43">
        <v>108</v>
      </c>
      <c r="B22" s="43" t="s">
        <v>122</v>
      </c>
      <c r="C22" s="43" t="s">
        <v>123</v>
      </c>
      <c r="D22" s="43" t="s">
        <v>124</v>
      </c>
      <c r="E22" s="43">
        <f>91-9876543217</f>
        <v>-9876543126</v>
      </c>
      <c r="F22" s="43" t="s">
        <v>125</v>
      </c>
      <c r="G22" s="43" t="s">
        <v>126</v>
      </c>
      <c r="H22" s="43" t="s">
        <v>127</v>
      </c>
      <c r="J22" s="43" t="s">
        <v>122</v>
      </c>
      <c r="M22" s="43" t="s">
        <v>178</v>
      </c>
      <c r="N22" s="43" t="s">
        <v>169</v>
      </c>
    </row>
    <row r="23" spans="1:15" ht="21" x14ac:dyDescent="0.35">
      <c r="A23" s="43">
        <v>109</v>
      </c>
      <c r="B23" s="43" t="s">
        <v>128</v>
      </c>
      <c r="C23" s="43" t="s">
        <v>129</v>
      </c>
      <c r="D23" s="43" t="s">
        <v>130</v>
      </c>
      <c r="E23" s="43">
        <f>91-9876543218</f>
        <v>-9876543127</v>
      </c>
      <c r="F23" s="43" t="s">
        <v>131</v>
      </c>
      <c r="G23" s="43" t="s">
        <v>132</v>
      </c>
      <c r="H23" s="43" t="s">
        <v>133</v>
      </c>
      <c r="J23" s="43" t="s">
        <v>128</v>
      </c>
      <c r="M23" s="43" t="s">
        <v>179</v>
      </c>
      <c r="N23" s="43" t="s">
        <v>180</v>
      </c>
    </row>
    <row r="24" spans="1:15" ht="21" x14ac:dyDescent="0.35">
      <c r="A24" s="43">
        <v>110</v>
      </c>
      <c r="B24" s="43" t="s">
        <v>134</v>
      </c>
      <c r="C24" s="43" t="s">
        <v>135</v>
      </c>
      <c r="D24" s="43" t="s">
        <v>136</v>
      </c>
      <c r="E24" s="43">
        <f>91-9876543219</f>
        <v>-9876543128</v>
      </c>
      <c r="F24" s="43" t="s">
        <v>137</v>
      </c>
      <c r="G24" s="43" t="s">
        <v>138</v>
      </c>
      <c r="H24" s="43" t="s">
        <v>139</v>
      </c>
      <c r="J24" s="43" t="s">
        <v>134</v>
      </c>
      <c r="M24" s="43" t="s">
        <v>181</v>
      </c>
      <c r="N24" s="43" t="s">
        <v>182</v>
      </c>
      <c r="O24" s="43" t="s">
        <v>183</v>
      </c>
    </row>
    <row r="25" spans="1:15" ht="21" x14ac:dyDescent="0.35">
      <c r="A25" s="43">
        <v>111</v>
      </c>
      <c r="B25" s="43" t="s">
        <v>140</v>
      </c>
      <c r="C25" s="43" t="s">
        <v>141</v>
      </c>
      <c r="D25" s="43" t="s">
        <v>142</v>
      </c>
      <c r="E25" s="43">
        <f>91-9876543220</f>
        <v>-9876543129</v>
      </c>
      <c r="F25" s="43" t="s">
        <v>143</v>
      </c>
      <c r="G25" s="43" t="s">
        <v>144</v>
      </c>
      <c r="H25" s="43" t="s">
        <v>145</v>
      </c>
      <c r="J25" s="43" t="s">
        <v>140</v>
      </c>
      <c r="M25" s="43" t="s">
        <v>184</v>
      </c>
      <c r="N25" s="43" t="s">
        <v>185</v>
      </c>
      <c r="O25" s="43" t="s">
        <v>186</v>
      </c>
    </row>
    <row r="26" spans="1:15" ht="21" x14ac:dyDescent="0.35">
      <c r="A26" s="43">
        <v>112</v>
      </c>
      <c r="B26" s="43" t="s">
        <v>146</v>
      </c>
      <c r="C26" s="43" t="s">
        <v>82</v>
      </c>
      <c r="D26" s="43" t="s">
        <v>147</v>
      </c>
      <c r="E26" s="43">
        <f>91-9876543221</f>
        <v>-9876543130</v>
      </c>
      <c r="F26" s="43" t="s">
        <v>148</v>
      </c>
      <c r="G26" s="43" t="s">
        <v>149</v>
      </c>
      <c r="H26" s="43" t="s">
        <v>150</v>
      </c>
      <c r="J26" s="43" t="s">
        <v>146</v>
      </c>
      <c r="M26" s="43" t="s">
        <v>187</v>
      </c>
      <c r="N26" s="43" t="s">
        <v>169</v>
      </c>
    </row>
    <row r="27" spans="1:15" ht="21" x14ac:dyDescent="0.35">
      <c r="A27" s="43">
        <v>113</v>
      </c>
      <c r="B27" s="43" t="s">
        <v>151</v>
      </c>
      <c r="C27" s="43" t="s">
        <v>87</v>
      </c>
      <c r="D27" s="43" t="s">
        <v>152</v>
      </c>
      <c r="E27" s="43">
        <f>91-9876543222</f>
        <v>-9876543131</v>
      </c>
      <c r="F27" s="43" t="s">
        <v>153</v>
      </c>
      <c r="G27" s="43" t="s">
        <v>154</v>
      </c>
      <c r="H27" s="43" t="s">
        <v>155</v>
      </c>
      <c r="J27" s="43" t="s">
        <v>151</v>
      </c>
      <c r="M27" s="43" t="s">
        <v>188</v>
      </c>
      <c r="N27" s="43" t="s">
        <v>171</v>
      </c>
    </row>
    <row r="28" spans="1:15" ht="21" x14ac:dyDescent="0.35">
      <c r="A28" s="43">
        <v>114</v>
      </c>
      <c r="B28" s="43" t="s">
        <v>156</v>
      </c>
      <c r="C28" s="43" t="s">
        <v>93</v>
      </c>
      <c r="D28" s="43" t="s">
        <v>157</v>
      </c>
      <c r="E28" s="43">
        <f>91-9876543223</f>
        <v>-9876543132</v>
      </c>
      <c r="F28" s="43" t="s">
        <v>158</v>
      </c>
      <c r="G28" s="43" t="s">
        <v>159</v>
      </c>
      <c r="H28" s="43" t="s">
        <v>160</v>
      </c>
      <c r="J28" s="43" t="s">
        <v>156</v>
      </c>
      <c r="M28" s="43" t="s">
        <v>172</v>
      </c>
      <c r="N28" s="43" t="s">
        <v>169</v>
      </c>
    </row>
    <row r="29" spans="1:15" ht="21" x14ac:dyDescent="0.35">
      <c r="A29" s="43">
        <v>115</v>
      </c>
      <c r="B29" s="43" t="s">
        <v>161</v>
      </c>
      <c r="C29" s="43" t="s">
        <v>111</v>
      </c>
      <c r="D29" s="43" t="s">
        <v>162</v>
      </c>
      <c r="E29" s="43">
        <f>91-9876543224</f>
        <v>-9876543133</v>
      </c>
      <c r="F29" s="43" t="s">
        <v>163</v>
      </c>
      <c r="G29" s="43" t="s">
        <v>164</v>
      </c>
      <c r="H29" s="43" t="s">
        <v>165</v>
      </c>
      <c r="J29" s="43" t="s">
        <v>161</v>
      </c>
      <c r="M29" s="43" t="s">
        <v>175</v>
      </c>
      <c r="N29" s="43" t="s">
        <v>176</v>
      </c>
    </row>
    <row r="31" spans="1:15" ht="21" x14ac:dyDescent="0.35">
      <c r="B31" s="42" t="s">
        <v>76</v>
      </c>
    </row>
    <row r="32" spans="1:15" x14ac:dyDescent="0.25">
      <c r="B32" s="47" t="s">
        <v>189</v>
      </c>
    </row>
    <row r="33" spans="2:2" ht="21" x14ac:dyDescent="0.35">
      <c r="B33" s="43" t="s">
        <v>88</v>
      </c>
    </row>
    <row r="34" spans="2:2" ht="21" x14ac:dyDescent="0.35">
      <c r="B34" s="43" t="s">
        <v>94</v>
      </c>
    </row>
    <row r="35" spans="2:2" ht="21" x14ac:dyDescent="0.35">
      <c r="B35" s="43" t="s">
        <v>100</v>
      </c>
    </row>
    <row r="36" spans="2:2" ht="21" x14ac:dyDescent="0.35">
      <c r="B36" s="43" t="s">
        <v>106</v>
      </c>
    </row>
    <row r="37" spans="2:2" ht="21" x14ac:dyDescent="0.35">
      <c r="B37" s="43" t="s">
        <v>112</v>
      </c>
    </row>
    <row r="38" spans="2:2" ht="21" x14ac:dyDescent="0.35">
      <c r="B38" s="43" t="s">
        <v>118</v>
      </c>
    </row>
    <row r="39" spans="2:2" ht="21" x14ac:dyDescent="0.35">
      <c r="B39" s="43" t="s">
        <v>124</v>
      </c>
    </row>
    <row r="40" spans="2:2" ht="21" x14ac:dyDescent="0.35">
      <c r="B40" s="43" t="s">
        <v>130</v>
      </c>
    </row>
    <row r="41" spans="2:2" ht="21" x14ac:dyDescent="0.35">
      <c r="B41" s="43" t="s">
        <v>136</v>
      </c>
    </row>
    <row r="42" spans="2:2" ht="21" x14ac:dyDescent="0.35">
      <c r="B42" s="43" t="s">
        <v>142</v>
      </c>
    </row>
    <row r="43" spans="2:2" ht="21" x14ac:dyDescent="0.35">
      <c r="B43" s="43" t="s">
        <v>147</v>
      </c>
    </row>
    <row r="44" spans="2:2" ht="21" x14ac:dyDescent="0.35">
      <c r="B44" s="43" t="s">
        <v>152</v>
      </c>
    </row>
    <row r="45" spans="2:2" ht="21" x14ac:dyDescent="0.35">
      <c r="B45" s="43" t="s">
        <v>157</v>
      </c>
    </row>
    <row r="46" spans="2:2" ht="21" x14ac:dyDescent="0.35">
      <c r="B46" s="43" t="s">
        <v>162</v>
      </c>
    </row>
  </sheetData>
  <hyperlinks>
    <hyperlink ref="D16" r:id="rId1" display="mailto:rahul.sharma@yahoo.com" xr:uid="{3A2F2173-CF2F-4BB4-AB6A-DD662BA70615}"/>
    <hyperlink ref="D17" r:id="rId2" display="mailto:priya.patel@gmail.com" xr:uid="{7257AC9A-5271-40B1-8095-011D3A0CACA3}"/>
    <hyperlink ref="D18" r:id="rId3" display="mailto:neha.shah@outlook.com" xr:uid="{D58E6DD9-719B-4B30-AD71-9C2686D5FD61}"/>
    <hyperlink ref="D19" r:id="rId4" display="mailto:amit.verma@gmail.com" xr:uid="{B49CADDF-C304-4CB9-9494-575D10E74DEA}"/>
    <hyperlink ref="D20" r:id="rId5" display="mailto:sana.khan@yahoo.com" xr:uid="{EABEE92B-1B32-4DCA-83C9-29936C01B99F}"/>
    <hyperlink ref="D21" r:id="rId6" display="mailto:rohan.mehta@gmail.com" xr:uid="{46E4EBD0-1058-43E8-B25F-B3403FFB812D}"/>
    <hyperlink ref="D22" r:id="rId7" display="mailto:pooja.desai@outlook.com" xr:uid="{9988406F-0B71-4CBA-9952-F62655AB1AD4}"/>
    <hyperlink ref="D23" r:id="rId8" display="mailto:imran.ali@gmail.com" xr:uid="{D2E3DCA9-D528-47D1-943B-7F9DFF06CC79}"/>
    <hyperlink ref="D24" r:id="rId9" display="mailto:kavita.joshi@yahoo.com" xr:uid="{7E56F8A2-EFFB-496E-BF8D-11DA6E940903}"/>
    <hyperlink ref="D25" r:id="rId10" display="mailto:raj.malhotra@gmail.com" xr:uid="{1A245AEF-4F73-4F46-90F9-949241B2D40E}"/>
    <hyperlink ref="D26" r:id="rId11" display="mailto:meera.shah@outlook.com" xr:uid="{7DBCFEEE-CF8D-4D47-8BFC-7284293D28EE}"/>
    <hyperlink ref="D27" r:id="rId12" display="mailto:danish.khan@gmail.com" xr:uid="{9E3DC88B-FE1A-4E2B-BE70-C1A5E70C1C30}"/>
    <hyperlink ref="D28" r:id="rId13" display="mailto:nisha.patel@yahoo.com" xr:uid="{54253EC3-E2E0-4E5C-A344-A8380BF3321E}"/>
    <hyperlink ref="D29" r:id="rId14" display="mailto:karan.singh@gmail.com" xr:uid="{F867886A-1752-4E92-AFD4-487B1B998DCE}"/>
    <hyperlink ref="D15" r:id="rId15" xr:uid="{F73948C8-D987-4ABF-B2AF-71E09DE82F5A}"/>
    <hyperlink ref="B33" r:id="rId16" display="mailto:rahul.sharma@yahoo.com" xr:uid="{EEEA31CA-FF26-4CDB-A2CC-18C79E4C9059}"/>
    <hyperlink ref="B34" r:id="rId17" display="mailto:priya.patel@gmail.com" xr:uid="{999B23AC-EF49-4467-8C1D-9ADA3F42C240}"/>
    <hyperlink ref="B35" r:id="rId18" display="mailto:neha.shah@outlook.com" xr:uid="{B3159699-6C70-4F8B-ADA6-7D04CEF0A431}"/>
    <hyperlink ref="B36" r:id="rId19" display="mailto:amit.verma@gmail.com" xr:uid="{B249F85F-A2D0-4733-BC24-08CF3ED62758}"/>
    <hyperlink ref="B37" r:id="rId20" display="mailto:sana.khan@yahoo.com" xr:uid="{E3760FD9-2221-4E40-89ED-15D5C233E803}"/>
    <hyperlink ref="B38" r:id="rId21" display="mailto:rohan.mehta@gmail.com" xr:uid="{5B3C13A4-36E3-43E0-B560-38A56AB072A8}"/>
    <hyperlink ref="B39" r:id="rId22" display="mailto:pooja.desai@outlook.com" xr:uid="{6A706E97-63D4-44D3-8AB5-947B45C200A4}"/>
    <hyperlink ref="B40" r:id="rId23" display="mailto:imran.ali@gmail.com" xr:uid="{553F9711-B868-4D05-9922-DE610B11609B}"/>
    <hyperlink ref="B41" r:id="rId24" display="mailto:kavita.joshi@yahoo.com" xr:uid="{03ED7B59-C783-491C-903D-B8E9F966B2AE}"/>
    <hyperlink ref="B42" r:id="rId25" display="mailto:raj.malhotra@gmail.com" xr:uid="{8F73BCCA-6F5D-41EB-895A-9E67684CCF3B}"/>
    <hyperlink ref="B43" r:id="rId26" display="mailto:meera.shah@outlook.com" xr:uid="{FA36BE04-1992-4FF0-883E-BA700EC7FBBB}"/>
    <hyperlink ref="B44" r:id="rId27" display="mailto:danish.khan@gmail.com" xr:uid="{B1E4D8C9-7C9B-487A-B96B-DB59E783D6ED}"/>
    <hyperlink ref="B45" r:id="rId28" display="mailto:nisha.patel@yahoo.com" xr:uid="{DDFA9754-4C42-424F-AC54-B388FDF5D584}"/>
    <hyperlink ref="B46" r:id="rId29" display="mailto:karan.singh@gmail.com" xr:uid="{310B88C6-9FD4-419F-9DCB-D976F4388B51}"/>
    <hyperlink ref="B32" r:id="rId30" xr:uid="{5C81C0FD-8A82-453E-B715-3797EA8767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047B-0846-479F-AA3A-A25570522CFC}">
  <dimension ref="B4:D5"/>
  <sheetViews>
    <sheetView tabSelected="1" workbookViewId="0">
      <selection activeCell="C13" sqref="A1:XFD1048576"/>
    </sheetView>
  </sheetViews>
  <sheetFormatPr defaultRowHeight="15" x14ac:dyDescent="0.25"/>
  <cols>
    <col min="2" max="2" width="11.85546875" customWidth="1"/>
    <col min="3" max="3" width="11.140625" customWidth="1"/>
    <col min="4" max="4" width="13.28515625" customWidth="1"/>
  </cols>
  <sheetData>
    <row r="4" spans="2:4" ht="21" x14ac:dyDescent="0.35">
      <c r="B4" s="45" t="s">
        <v>70</v>
      </c>
      <c r="C4" s="45" t="s">
        <v>71</v>
      </c>
      <c r="D4" s="45" t="s">
        <v>72</v>
      </c>
    </row>
    <row r="5" spans="2:4" ht="21" x14ac:dyDescent="0.35">
      <c r="B5" s="46">
        <v>100</v>
      </c>
      <c r="C5" s="45">
        <v>60</v>
      </c>
      <c r="D5" s="45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entry</vt:lpstr>
      <vt:lpstr> Font &amp; Alignment </vt:lpstr>
      <vt:lpstr>Aggregation</vt:lpstr>
      <vt:lpstr>Split  &amp; Concet</vt:lpstr>
      <vt:lpstr>insert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Library1</dc:creator>
  <cp:lastModifiedBy>Library1</cp:lastModifiedBy>
  <dcterms:created xsi:type="dcterms:W3CDTF">2026-08-09T06:46:51Z</dcterms:created>
  <dcterms:modified xsi:type="dcterms:W3CDTF">2026-08-09T08:18:31Z</dcterms:modified>
</cp:coreProperties>
</file>