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brary1\Downloads\"/>
    </mc:Choice>
  </mc:AlternateContent>
  <xr:revisionPtr revIDLastSave="0" documentId="13_ncr:1_{7A44929F-0647-4D8D-BE9D-14F017411213}" xr6:coauthVersionLast="47" xr6:coauthVersionMax="47" xr10:uidLastSave="{00000000-0000-0000-0000-000000000000}"/>
  <bookViews>
    <workbookView xWindow="-120" yWindow="-120" windowWidth="20730" windowHeight="11040" firstSheet="1" activeTab="5" xr2:uid="{90DD8395-241D-4086-9310-C50A1D5820C3}"/>
  </bookViews>
  <sheets>
    <sheet name="student_result_if" sheetId="1" r:id="rId1"/>
    <sheet name="Grading_student_if" sheetId="2" r:id="rId2"/>
    <sheet name="Eligiblity_AND" sheetId="3" r:id="rId3"/>
    <sheet name="Discount_OR" sheetId="4" r:id="rId4"/>
    <sheet name="Attedence_not" sheetId="5" r:id="rId5"/>
    <sheet name="facutly_evulation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5" i="6" l="1"/>
  <c r="D6" i="6"/>
  <c r="D4" i="6"/>
  <c r="D3" i="6"/>
  <c r="D2" i="6"/>
  <c r="D6" i="7"/>
  <c r="D5" i="7"/>
  <c r="D4" i="7"/>
  <c r="D3" i="7"/>
  <c r="D2" i="7"/>
  <c r="C3" i="7"/>
  <c r="C4" i="7"/>
  <c r="C5" i="7"/>
  <c r="C6" i="7"/>
  <c r="C2" i="7"/>
  <c r="D3" i="5"/>
  <c r="D4" i="5"/>
  <c r="D5" i="5"/>
  <c r="D6" i="5"/>
  <c r="D2" i="5"/>
  <c r="C6" i="5"/>
  <c r="C5" i="5"/>
  <c r="C4" i="5"/>
  <c r="C3" i="5"/>
  <c r="C2" i="5"/>
  <c r="D4" i="4"/>
  <c r="D5" i="4"/>
  <c r="D6" i="4"/>
  <c r="D3" i="4"/>
  <c r="D2" i="4"/>
  <c r="D3" i="3"/>
  <c r="D4" i="3"/>
  <c r="D5" i="3"/>
  <c r="D6" i="3"/>
  <c r="D2" i="3"/>
  <c r="C3" i="2"/>
  <c r="C4" i="2"/>
  <c r="C5" i="2"/>
  <c r="C6" i="2"/>
  <c r="C2" i="2"/>
  <c r="D3" i="1"/>
  <c r="D4" i="1"/>
  <c r="D5" i="1"/>
  <c r="D6" i="1"/>
  <c r="D7" i="1"/>
  <c r="D2" i="1"/>
</calcChain>
</file>

<file path=xl/sharedStrings.xml><?xml version="1.0" encoding="utf-8"?>
<sst xmlns="http://schemas.openxmlformats.org/spreadsheetml/2006/main" count="69" uniqueCount="52">
  <si>
    <t>Roll No</t>
  </si>
  <si>
    <t>Student Name</t>
  </si>
  <si>
    <t>Marks</t>
  </si>
  <si>
    <t>Aman</t>
  </si>
  <si>
    <t>Bharti</t>
  </si>
  <si>
    <t>Chetan</t>
  </si>
  <si>
    <t>Deepa</t>
  </si>
  <si>
    <t>Farhan</t>
  </si>
  <si>
    <t>Gaurav</t>
  </si>
  <si>
    <t>Result</t>
  </si>
  <si>
    <t>Column: Result
Condition: Marks ≥ 40 → Pass, else Fail</t>
  </si>
  <si>
    <t>Column: Grade
Grading Rules:
≥ 75 → A
≥ 60 → B
≥ 40 → C
&lt; 40 → Fail</t>
  </si>
  <si>
    <t>Grade</t>
  </si>
  <si>
    <t>Column: Eligible
Condition:
Age ≥ 21
Experience ≥ 1 year</t>
  </si>
  <si>
    <t>Name</t>
  </si>
  <si>
    <t>Age</t>
  </si>
  <si>
    <t>Experience (Years)</t>
  </si>
  <si>
    <t>Rohit</t>
  </si>
  <si>
    <t>Simran</t>
  </si>
  <si>
    <t>Vijay</t>
  </si>
  <si>
    <t>Nisha</t>
  </si>
  <si>
    <t>Arjun</t>
  </si>
  <si>
    <t>Eligible</t>
  </si>
  <si>
    <t>Customer Name</t>
  </si>
  <si>
    <t>Purchase Amount</t>
  </si>
  <si>
    <t>Membership</t>
  </si>
  <si>
    <t>Aakash</t>
  </si>
  <si>
    <t>No</t>
  </si>
  <si>
    <t>Bhavna</t>
  </si>
  <si>
    <t>Yes</t>
  </si>
  <si>
    <t>Divya</t>
  </si>
  <si>
    <t>Esha</t>
  </si>
  <si>
    <t>Discount</t>
  </si>
  <si>
    <t>Column: Discount
Condition:
Purchase ≥ 10000
OR Membership = "Yes"</t>
  </si>
  <si>
    <t>Present</t>
  </si>
  <si>
    <t>Attendance Status</t>
  </si>
  <si>
    <t>Attendance</t>
  </si>
  <si>
    <t>Column: Attendance Status
Logic:
If Present = TRUE → Present
If Present = FALSE → Absent</t>
  </si>
  <si>
    <t>Column: Performance
Logic:
Attendance ≥ 90 AND Classes ≥ 40 → Excellent
Attendance ≥ 80 → Good
Else → Needs Improvement</t>
  </si>
  <si>
    <t>Faculty Name</t>
  </si>
  <si>
    <t>Classes Conducted</t>
  </si>
  <si>
    <t>Attendance %</t>
  </si>
  <si>
    <t>Performance</t>
  </si>
  <si>
    <t>Rajesh</t>
  </si>
  <si>
    <t>Sunita</t>
  </si>
  <si>
    <t>Manoj</t>
  </si>
  <si>
    <t>Kavita</t>
  </si>
  <si>
    <t>Anil</t>
  </si>
  <si>
    <t>Column: Result
Logic:
Divide Number 1 by Number 2
If error → "Invalid"</t>
  </si>
  <si>
    <t>Number 1</t>
  </si>
  <si>
    <t>Number 2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</si>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</sst>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0CD5-E275-4FA8-9167-5761461C78B9}">
  <dimension ref="A1:P7"/>
  <sheetViews>
    <sheetView workbookViewId="0">
      <selection activeCell="G7" sqref="G7"/>
    </sheetView>
  </sheetViews>
  <sheetFormatPr defaultRowHeight="15" x14ac:dyDescent="0.25"/>
  <cols>
    <col min="1" max="1" width="9.5703125" customWidth="1"/>
    <col min="2" max="2" width="15.85546875" customWidth="1"/>
    <col min="3" max="3" width="12.855468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9</v>
      </c>
    </row>
    <row r="2" spans="1:16" x14ac:dyDescent="0.25">
      <c r="A2">
        <v>1</v>
      </c>
      <c r="B2" t="s">
        <v>3</v>
      </c>
      <c r="C2">
        <v>78</v>
      </c>
      <c r="D2" t="str">
        <f>IF(C2&gt;=40,"pass","fail")</f>
        <v>pass</v>
      </c>
    </row>
    <row r="3" spans="1:16" x14ac:dyDescent="0.25">
      <c r="A3">
        <v>2</v>
      </c>
      <c r="B3" t="s">
        <v>4</v>
      </c>
      <c r="C3">
        <v>35</v>
      </c>
      <c r="D3" t="str">
        <f t="shared" ref="D3:D7" si="0">IF(C3&gt;=40,"pass","fail")</f>
        <v>fail</v>
      </c>
      <c r="L3" s="2" t="s">
        <v>10</v>
      </c>
      <c r="M3" s="3"/>
      <c r="N3" s="3"/>
      <c r="O3" s="3"/>
      <c r="P3" s="3"/>
    </row>
    <row r="4" spans="1:16" x14ac:dyDescent="0.25">
      <c r="A4">
        <v>3</v>
      </c>
      <c r="B4" t="s">
        <v>5</v>
      </c>
      <c r="C4">
        <v>62</v>
      </c>
      <c r="D4" t="str">
        <f t="shared" si="0"/>
        <v>pass</v>
      </c>
      <c r="L4" s="3"/>
      <c r="M4" s="3"/>
      <c r="N4" s="3"/>
      <c r="O4" s="3"/>
      <c r="P4" s="3"/>
    </row>
    <row r="5" spans="1:16" x14ac:dyDescent="0.25">
      <c r="A5">
        <v>4</v>
      </c>
      <c r="B5" t="s">
        <v>6</v>
      </c>
      <c r="C5">
        <v>40</v>
      </c>
      <c r="D5" t="str">
        <f t="shared" si="0"/>
        <v>pass</v>
      </c>
      <c r="L5" s="3"/>
      <c r="M5" s="3"/>
      <c r="N5" s="3"/>
      <c r="O5" s="3"/>
      <c r="P5" s="3"/>
    </row>
    <row r="6" spans="1:16" x14ac:dyDescent="0.25">
      <c r="A6">
        <v>5</v>
      </c>
      <c r="B6" t="s">
        <v>7</v>
      </c>
      <c r="C6">
        <v>28</v>
      </c>
      <c r="D6" t="str">
        <f t="shared" si="0"/>
        <v>fail</v>
      </c>
      <c r="L6" s="3"/>
      <c r="M6" s="3"/>
      <c r="N6" s="3"/>
      <c r="O6" s="3"/>
      <c r="P6" s="3"/>
    </row>
    <row r="7" spans="1:16" x14ac:dyDescent="0.25">
      <c r="A7">
        <v>6</v>
      </c>
      <c r="B7" t="s">
        <v>8</v>
      </c>
      <c r="C7">
        <v>85</v>
      </c>
      <c r="D7" t="str">
        <f t="shared" si="0"/>
        <v>pass</v>
      </c>
    </row>
  </sheetData>
  <mergeCells count="1">
    <mergeCell ref="L3:P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8269C-7A47-4C14-845D-744CF8184163}">
  <dimension ref="A1:N17"/>
  <sheetViews>
    <sheetView workbookViewId="0">
      <selection activeCell="F8" sqref="F8"/>
    </sheetView>
  </sheetViews>
  <sheetFormatPr defaultRowHeight="15" x14ac:dyDescent="0.25"/>
  <cols>
    <col min="1" max="1" width="16" customWidth="1"/>
    <col min="2" max="2" width="11.140625" customWidth="1"/>
  </cols>
  <sheetData>
    <row r="1" spans="1:14" x14ac:dyDescent="0.25">
      <c r="A1" s="4" t="s">
        <v>1</v>
      </c>
      <c r="B1" s="4" t="s">
        <v>2</v>
      </c>
      <c r="C1" s="4" t="s">
        <v>12</v>
      </c>
    </row>
    <row r="2" spans="1:14" x14ac:dyDescent="0.25">
      <c r="A2" s="5" t="s">
        <v>3</v>
      </c>
      <c r="B2" s="5">
        <v>78</v>
      </c>
      <c r="C2" t="str">
        <f>IF(B2&gt;=75,"A",IF(B2&gt;=60,"B",IF(B2&gt;=40,"C",IF(B2&lt;=40,"FAIL"))))</f>
        <v>A</v>
      </c>
    </row>
    <row r="3" spans="1:14" x14ac:dyDescent="0.25">
      <c r="A3" s="5" t="s">
        <v>4</v>
      </c>
      <c r="B3" s="5">
        <v>55</v>
      </c>
      <c r="C3" t="str">
        <f t="shared" ref="C3:C6" si="0">IF(B3&gt;=75,"A",IF(B3&gt;=60,"B",IF(B3&gt;=40,"C",IF(B3&lt;=40,"FAIL"))))</f>
        <v>C</v>
      </c>
      <c r="J3" s="2" t="s">
        <v>11</v>
      </c>
      <c r="K3" s="2"/>
      <c r="L3" s="2"/>
      <c r="M3" s="2"/>
      <c r="N3" s="2"/>
    </row>
    <row r="4" spans="1:14" x14ac:dyDescent="0.25">
      <c r="A4" s="5" t="s">
        <v>5</v>
      </c>
      <c r="B4" s="5">
        <v>68</v>
      </c>
      <c r="C4" t="str">
        <f t="shared" si="0"/>
        <v>B</v>
      </c>
      <c r="J4" s="2"/>
      <c r="K4" s="2"/>
      <c r="L4" s="2"/>
      <c r="M4" s="2"/>
      <c r="N4" s="2"/>
    </row>
    <row r="5" spans="1:14" x14ac:dyDescent="0.25">
      <c r="A5" s="5" t="s">
        <v>6</v>
      </c>
      <c r="B5" s="5">
        <v>42</v>
      </c>
      <c r="C5" t="str">
        <f t="shared" si="0"/>
        <v>C</v>
      </c>
      <c r="J5" s="2"/>
      <c r="K5" s="2"/>
      <c r="L5" s="2"/>
      <c r="M5" s="2"/>
      <c r="N5" s="2"/>
    </row>
    <row r="6" spans="1:14" x14ac:dyDescent="0.25">
      <c r="A6" s="5" t="s">
        <v>7</v>
      </c>
      <c r="B6" s="5">
        <v>29</v>
      </c>
      <c r="C6" t="str">
        <f t="shared" si="0"/>
        <v>FAIL</v>
      </c>
      <c r="J6" s="2"/>
      <c r="K6" s="2"/>
      <c r="L6" s="2"/>
      <c r="M6" s="2"/>
      <c r="N6" s="2"/>
    </row>
    <row r="7" spans="1:14" x14ac:dyDescent="0.25">
      <c r="J7" s="2"/>
      <c r="K7" s="2"/>
      <c r="L7" s="2"/>
      <c r="M7" s="2"/>
      <c r="N7" s="2"/>
    </row>
    <row r="8" spans="1:14" x14ac:dyDescent="0.25">
      <c r="J8" s="2"/>
      <c r="K8" s="2"/>
      <c r="L8" s="2"/>
      <c r="M8" s="2"/>
      <c r="N8" s="2"/>
    </row>
    <row r="9" spans="1:14" x14ac:dyDescent="0.25">
      <c r="J9" s="2"/>
      <c r="K9" s="2"/>
      <c r="L9" s="2"/>
      <c r="M9" s="2"/>
      <c r="N9" s="2"/>
    </row>
    <row r="10" spans="1:14" x14ac:dyDescent="0.25">
      <c r="J10" s="2"/>
      <c r="K10" s="2"/>
      <c r="L10" s="2"/>
      <c r="M10" s="2"/>
      <c r="N10" s="2"/>
    </row>
    <row r="11" spans="1:14" x14ac:dyDescent="0.25">
      <c r="J11" s="2"/>
      <c r="K11" s="2"/>
      <c r="L11" s="2"/>
      <c r="M11" s="2"/>
      <c r="N11" s="2"/>
    </row>
    <row r="12" spans="1:14" x14ac:dyDescent="0.25">
      <c r="J12" s="2"/>
      <c r="K12" s="2"/>
      <c r="L12" s="2"/>
      <c r="M12" s="2"/>
      <c r="N12" s="2"/>
    </row>
    <row r="13" spans="1:14" x14ac:dyDescent="0.25">
      <c r="J13" s="2"/>
      <c r="K13" s="2"/>
      <c r="L13" s="2"/>
      <c r="M13" s="2"/>
      <c r="N13" s="2"/>
    </row>
    <row r="14" spans="1:14" x14ac:dyDescent="0.25">
      <c r="J14" s="2"/>
      <c r="K14" s="2"/>
      <c r="L14" s="2"/>
      <c r="M14" s="2"/>
      <c r="N14" s="2"/>
    </row>
    <row r="15" spans="1:14" x14ac:dyDescent="0.25">
      <c r="J15" s="2"/>
      <c r="K15" s="2"/>
      <c r="L15" s="2"/>
      <c r="M15" s="2"/>
      <c r="N15" s="2"/>
    </row>
    <row r="16" spans="1:14" x14ac:dyDescent="0.25">
      <c r="J16" s="2"/>
      <c r="K16" s="2"/>
      <c r="L16" s="2"/>
      <c r="M16" s="2"/>
      <c r="N16" s="2"/>
    </row>
    <row r="17" spans="10:14" x14ac:dyDescent="0.25">
      <c r="J17" s="2"/>
      <c r="K17" s="2"/>
      <c r="L17" s="2"/>
      <c r="M17" s="2"/>
      <c r="N17" s="2"/>
    </row>
  </sheetData>
  <mergeCells count="1">
    <mergeCell ref="J3:N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0B618-C110-475B-B037-4A77F01B5513}">
  <dimension ref="A1:P13"/>
  <sheetViews>
    <sheetView workbookViewId="0">
      <selection activeCell="E8" sqref="E8"/>
    </sheetView>
  </sheetViews>
  <sheetFormatPr defaultRowHeight="15" x14ac:dyDescent="0.25"/>
  <cols>
    <col min="1" max="1" width="12.7109375" customWidth="1"/>
    <col min="2" max="2" width="12.28515625" customWidth="1"/>
    <col min="3" max="3" width="17.42578125" customWidth="1"/>
    <col min="4" max="4" width="13.140625" customWidth="1"/>
  </cols>
  <sheetData>
    <row r="1" spans="1:16" x14ac:dyDescent="0.25">
      <c r="A1" s="4" t="s">
        <v>14</v>
      </c>
      <c r="B1" s="4" t="s">
        <v>15</v>
      </c>
      <c r="C1" s="4" t="s">
        <v>16</v>
      </c>
      <c r="D1" s="4" t="s">
        <v>22</v>
      </c>
    </row>
    <row r="2" spans="1:16" x14ac:dyDescent="0.25">
      <c r="A2" s="5" t="s">
        <v>17</v>
      </c>
      <c r="B2" s="5">
        <v>25</v>
      </c>
      <c r="C2" s="5">
        <v>2</v>
      </c>
      <c r="D2" s="5" t="str">
        <f>IF(AND(B2&gt;=21,C2&gt;=1),"Eligible","Not Eligible")</f>
        <v>Eligible</v>
      </c>
    </row>
    <row r="3" spans="1:16" x14ac:dyDescent="0.25">
      <c r="A3" s="5" t="s">
        <v>18</v>
      </c>
      <c r="B3" s="5">
        <v>19</v>
      </c>
      <c r="C3" s="5">
        <v>1</v>
      </c>
      <c r="D3" s="5" t="str">
        <f t="shared" ref="D3:D6" si="0">IF(AND(B3&gt;=21,C3&gt;=1),"Eligible","Not Eligible")</f>
        <v>Not Eligible</v>
      </c>
    </row>
    <row r="4" spans="1:16" x14ac:dyDescent="0.25">
      <c r="A4" s="5" t="s">
        <v>19</v>
      </c>
      <c r="B4" s="5">
        <v>30</v>
      </c>
      <c r="C4" s="5">
        <v>5</v>
      </c>
      <c r="D4" s="5" t="str">
        <f t="shared" si="0"/>
        <v>Eligible</v>
      </c>
    </row>
    <row r="5" spans="1:16" x14ac:dyDescent="0.25">
      <c r="A5" s="5" t="s">
        <v>20</v>
      </c>
      <c r="B5" s="5">
        <v>22</v>
      </c>
      <c r="C5" s="5">
        <v>0</v>
      </c>
      <c r="D5" s="5" t="str">
        <f t="shared" si="0"/>
        <v>Not Eligible</v>
      </c>
      <c r="L5" s="2" t="s">
        <v>13</v>
      </c>
      <c r="M5" s="2"/>
      <c r="N5" s="2"/>
      <c r="O5" s="2"/>
      <c r="P5" s="2"/>
    </row>
    <row r="6" spans="1:16" x14ac:dyDescent="0.25">
      <c r="A6" s="5" t="s">
        <v>21</v>
      </c>
      <c r="B6" s="5">
        <v>28</v>
      </c>
      <c r="C6" s="5">
        <v>3</v>
      </c>
      <c r="D6" s="5" t="str">
        <f t="shared" si="0"/>
        <v>Eligible</v>
      </c>
      <c r="L6" s="2"/>
      <c r="M6" s="2"/>
      <c r="N6" s="2"/>
      <c r="O6" s="2"/>
      <c r="P6" s="2"/>
    </row>
    <row r="7" spans="1:16" x14ac:dyDescent="0.25">
      <c r="L7" s="2"/>
      <c r="M7" s="2"/>
      <c r="N7" s="2"/>
      <c r="O7" s="2"/>
      <c r="P7" s="2"/>
    </row>
    <row r="8" spans="1:16" x14ac:dyDescent="0.25">
      <c r="L8" s="2"/>
      <c r="M8" s="2"/>
      <c r="N8" s="2"/>
      <c r="O8" s="2"/>
      <c r="P8" s="2"/>
    </row>
    <row r="9" spans="1:16" x14ac:dyDescent="0.25">
      <c r="L9" s="2"/>
      <c r="M9" s="2"/>
      <c r="N9" s="2"/>
      <c r="O9" s="2"/>
      <c r="P9" s="2"/>
    </row>
    <row r="10" spans="1:16" x14ac:dyDescent="0.25">
      <c r="L10" s="2"/>
      <c r="M10" s="2"/>
      <c r="N10" s="2"/>
      <c r="O10" s="2"/>
      <c r="P10" s="2"/>
    </row>
    <row r="11" spans="1:16" x14ac:dyDescent="0.25">
      <c r="L11" s="2"/>
      <c r="M11" s="2"/>
      <c r="N11" s="2"/>
      <c r="O11" s="2"/>
      <c r="P11" s="2"/>
    </row>
    <row r="12" spans="1:16" x14ac:dyDescent="0.25">
      <c r="L12" s="2"/>
      <c r="M12" s="2"/>
      <c r="N12" s="2"/>
      <c r="O12" s="2"/>
      <c r="P12" s="2"/>
    </row>
    <row r="13" spans="1:16" x14ac:dyDescent="0.25">
      <c r="L13" s="2"/>
      <c r="M13" s="2"/>
      <c r="N13" s="2"/>
      <c r="O13" s="2"/>
      <c r="P13" s="2"/>
    </row>
  </sheetData>
  <mergeCells count="1">
    <mergeCell ref="L5:P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9D06B-08B2-4294-9E55-562718422F89}">
  <dimension ref="A1:L15"/>
  <sheetViews>
    <sheetView workbookViewId="0">
      <selection activeCell="E10" sqref="E10"/>
    </sheetView>
  </sheetViews>
  <sheetFormatPr defaultRowHeight="15" x14ac:dyDescent="0.25"/>
  <cols>
    <col min="1" max="3" width="19.42578125" customWidth="1"/>
    <col min="4" max="4" width="10" customWidth="1"/>
  </cols>
  <sheetData>
    <row r="1" spans="1:12" x14ac:dyDescent="0.25">
      <c r="A1" s="4" t="s">
        <v>23</v>
      </c>
      <c r="B1" s="4" t="s">
        <v>24</v>
      </c>
      <c r="C1" s="4" t="s">
        <v>25</v>
      </c>
      <c r="D1" s="4" t="s">
        <v>32</v>
      </c>
    </row>
    <row r="2" spans="1:12" x14ac:dyDescent="0.25">
      <c r="A2" s="5" t="s">
        <v>26</v>
      </c>
      <c r="B2" s="5">
        <v>8000</v>
      </c>
      <c r="C2" s="5" t="s">
        <v>27</v>
      </c>
      <c r="D2" s="5" t="str">
        <f>IF(OR(B2&gt;10000,C2="Yes"),"Discount","Not Discount")</f>
        <v>Not Discount</v>
      </c>
    </row>
    <row r="3" spans="1:12" x14ac:dyDescent="0.25">
      <c r="A3" s="5" t="s">
        <v>28</v>
      </c>
      <c r="B3" s="5">
        <v>12000</v>
      </c>
      <c r="C3" s="5" t="s">
        <v>27</v>
      </c>
      <c r="D3" s="5" t="str">
        <f>IF(OR(B3&gt;=10000,C3="Yes"),"Discount","Not Discount")</f>
        <v>Discount</v>
      </c>
      <c r="H3" s="2" t="s">
        <v>33</v>
      </c>
      <c r="I3" s="2"/>
      <c r="J3" s="2"/>
      <c r="K3" s="2"/>
      <c r="L3" s="2"/>
    </row>
    <row r="4" spans="1:12" x14ac:dyDescent="0.25">
      <c r="A4" s="5"/>
      <c r="B4" s="5">
        <v>5000</v>
      </c>
      <c r="C4" s="5" t="s">
        <v>29</v>
      </c>
      <c r="D4" s="5" t="str">
        <f t="shared" ref="D4:D6" si="0">IF(OR(B4&gt;=10000,C4="Yes"),"Discount","Not Discount")</f>
        <v>Discount</v>
      </c>
      <c r="H4" s="2"/>
      <c r="I4" s="2"/>
      <c r="J4" s="2"/>
      <c r="K4" s="2"/>
      <c r="L4" s="2"/>
    </row>
    <row r="5" spans="1:12" x14ac:dyDescent="0.25">
      <c r="A5" s="5" t="s">
        <v>30</v>
      </c>
      <c r="B5" s="5">
        <v>3000</v>
      </c>
      <c r="C5" s="5" t="s">
        <v>27</v>
      </c>
      <c r="D5" s="5" t="str">
        <f t="shared" si="0"/>
        <v>Not Discount</v>
      </c>
      <c r="H5" s="2"/>
      <c r="I5" s="2"/>
      <c r="J5" s="2"/>
      <c r="K5" s="2"/>
      <c r="L5" s="2"/>
    </row>
    <row r="6" spans="1:12" x14ac:dyDescent="0.25">
      <c r="A6" s="5" t="s">
        <v>31</v>
      </c>
      <c r="B6" s="5">
        <v>15000</v>
      </c>
      <c r="C6" s="5" t="s">
        <v>29</v>
      </c>
      <c r="D6" s="5" t="str">
        <f t="shared" si="0"/>
        <v>Discount</v>
      </c>
      <c r="H6" s="2"/>
      <c r="I6" s="2"/>
      <c r="J6" s="2"/>
      <c r="K6" s="2"/>
      <c r="L6" s="2"/>
    </row>
    <row r="7" spans="1:12" x14ac:dyDescent="0.25">
      <c r="H7" s="2"/>
      <c r="I7" s="2"/>
      <c r="J7" s="2"/>
      <c r="K7" s="2"/>
      <c r="L7" s="2"/>
    </row>
    <row r="8" spans="1:12" x14ac:dyDescent="0.25">
      <c r="H8" s="2"/>
      <c r="I8" s="2"/>
      <c r="J8" s="2"/>
      <c r="K8" s="2"/>
      <c r="L8" s="2"/>
    </row>
    <row r="9" spans="1:12" x14ac:dyDescent="0.25">
      <c r="H9" s="2"/>
      <c r="I9" s="2"/>
      <c r="J9" s="2"/>
      <c r="K9" s="2"/>
      <c r="L9" s="2"/>
    </row>
    <row r="10" spans="1:12" x14ac:dyDescent="0.25">
      <c r="H10" s="2"/>
      <c r="I10" s="2"/>
      <c r="J10" s="2"/>
      <c r="K10" s="2"/>
      <c r="L10" s="2"/>
    </row>
    <row r="11" spans="1:12" x14ac:dyDescent="0.25">
      <c r="H11" s="2"/>
      <c r="I11" s="2"/>
      <c r="J11" s="2"/>
      <c r="K11" s="2"/>
      <c r="L11" s="2"/>
    </row>
    <row r="12" spans="1:12" x14ac:dyDescent="0.25">
      <c r="H12" s="2"/>
      <c r="I12" s="2"/>
      <c r="J12" s="2"/>
      <c r="K12" s="2"/>
      <c r="L12" s="2"/>
    </row>
    <row r="13" spans="1:12" x14ac:dyDescent="0.25">
      <c r="H13" s="2"/>
      <c r="I13" s="2"/>
      <c r="J13" s="2"/>
      <c r="K13" s="2"/>
      <c r="L13" s="2"/>
    </row>
    <row r="14" spans="1:12" x14ac:dyDescent="0.25">
      <c r="H14" s="2"/>
      <c r="I14" s="2"/>
      <c r="J14" s="2"/>
      <c r="K14" s="2"/>
      <c r="L14" s="2"/>
    </row>
    <row r="15" spans="1:12" x14ac:dyDescent="0.25">
      <c r="H15" s="2"/>
      <c r="I15" s="2"/>
      <c r="J15" s="2"/>
      <c r="K15" s="2"/>
      <c r="L15" s="2"/>
    </row>
  </sheetData>
  <mergeCells count="1">
    <mergeCell ref="H3:L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6F5A6-0947-4CED-91E7-B0E13B0FCB76}">
  <dimension ref="A1:K15"/>
  <sheetViews>
    <sheetView workbookViewId="0">
      <selection activeCell="E22" sqref="E22"/>
    </sheetView>
  </sheetViews>
  <sheetFormatPr defaultRowHeight="15" x14ac:dyDescent="0.25"/>
  <cols>
    <col min="1" max="1" width="11.28515625" customWidth="1"/>
    <col min="2" max="2" width="10" customWidth="1"/>
    <col min="3" max="3" width="16.7109375" customWidth="1"/>
    <col min="4" max="4" width="10.85546875" customWidth="1"/>
  </cols>
  <sheetData>
    <row r="1" spans="1:11" x14ac:dyDescent="0.25">
      <c r="A1" s="4" t="s">
        <v>14</v>
      </c>
      <c r="B1" s="4" t="s">
        <v>34</v>
      </c>
      <c r="C1" s="4" t="s">
        <v>35</v>
      </c>
      <c r="D1" s="6" t="s">
        <v>36</v>
      </c>
    </row>
    <row r="2" spans="1:11" x14ac:dyDescent="0.25">
      <c r="A2" s="5" t="s">
        <v>3</v>
      </c>
      <c r="B2" s="5" t="b">
        <v>1</v>
      </c>
      <c r="C2" s="5" t="str">
        <f>IF(NOT(B2),"Absent","Present")</f>
        <v>Present</v>
      </c>
      <c r="D2" s="5" t="str">
        <f>IF(B2,"Present","Absent")</f>
        <v>Present</v>
      </c>
    </row>
    <row r="3" spans="1:11" x14ac:dyDescent="0.25">
      <c r="A3" s="5" t="s">
        <v>4</v>
      </c>
      <c r="B3" s="5" t="b">
        <v>0</v>
      </c>
      <c r="C3" s="5" t="str">
        <f t="shared" ref="C3:C6" si="0">IF(NOT(B3),"Absent","Present")</f>
        <v>Absent</v>
      </c>
      <c r="D3" s="5" t="str">
        <f t="shared" ref="D3:D6" si="1">IF(B3,"Present","Absent")</f>
        <v>Absent</v>
      </c>
    </row>
    <row r="4" spans="1:11" x14ac:dyDescent="0.25">
      <c r="A4" s="5" t="s">
        <v>5</v>
      </c>
      <c r="B4" s="5" t="b">
        <v>1</v>
      </c>
      <c r="C4" s="5" t="str">
        <f t="shared" si="0"/>
        <v>Present</v>
      </c>
      <c r="D4" s="5" t="str">
        <f t="shared" si="1"/>
        <v>Present</v>
      </c>
      <c r="G4" s="2" t="s">
        <v>37</v>
      </c>
      <c r="H4" s="2"/>
      <c r="I4" s="2"/>
      <c r="J4" s="2"/>
      <c r="K4" s="2"/>
    </row>
    <row r="5" spans="1:11" x14ac:dyDescent="0.25">
      <c r="A5" s="5" t="s">
        <v>6</v>
      </c>
      <c r="B5" s="5" t="b">
        <v>0</v>
      </c>
      <c r="C5" s="5" t="str">
        <f t="shared" si="0"/>
        <v>Absent</v>
      </c>
      <c r="D5" s="5" t="str">
        <f t="shared" si="1"/>
        <v>Absent</v>
      </c>
      <c r="G5" s="2"/>
      <c r="H5" s="2"/>
      <c r="I5" s="2"/>
      <c r="J5" s="2"/>
      <c r="K5" s="2"/>
    </row>
    <row r="6" spans="1:11" x14ac:dyDescent="0.25">
      <c r="A6" s="5" t="s">
        <v>7</v>
      </c>
      <c r="B6" s="5" t="b">
        <v>1</v>
      </c>
      <c r="C6" s="5" t="str">
        <f t="shared" si="0"/>
        <v>Present</v>
      </c>
      <c r="D6" s="5" t="str">
        <f t="shared" si="1"/>
        <v>Present</v>
      </c>
      <c r="G6" s="2"/>
      <c r="H6" s="2"/>
      <c r="I6" s="2"/>
      <c r="J6" s="2"/>
      <c r="K6" s="2"/>
    </row>
    <row r="7" spans="1:11" x14ac:dyDescent="0.25">
      <c r="G7" s="2"/>
      <c r="H7" s="2"/>
      <c r="I7" s="2"/>
      <c r="J7" s="2"/>
      <c r="K7" s="2"/>
    </row>
    <row r="8" spans="1:11" x14ac:dyDescent="0.25">
      <c r="G8" s="2"/>
      <c r="H8" s="2"/>
      <c r="I8" s="2"/>
      <c r="J8" s="2"/>
      <c r="K8" s="2"/>
    </row>
    <row r="9" spans="1:11" x14ac:dyDescent="0.25">
      <c r="G9" s="2"/>
      <c r="H9" s="2"/>
      <c r="I9" s="2"/>
      <c r="J9" s="2"/>
      <c r="K9" s="2"/>
    </row>
    <row r="10" spans="1:11" x14ac:dyDescent="0.25">
      <c r="G10" s="2"/>
      <c r="H10" s="2"/>
      <c r="I10" s="2"/>
      <c r="J10" s="2"/>
      <c r="K10" s="2"/>
    </row>
    <row r="11" spans="1:11" x14ac:dyDescent="0.25">
      <c r="G11" s="2"/>
      <c r="H11" s="2"/>
      <c r="I11" s="2"/>
      <c r="J11" s="2"/>
      <c r="K11" s="2"/>
    </row>
    <row r="12" spans="1:11" x14ac:dyDescent="0.25">
      <c r="G12" s="2"/>
      <c r="H12" s="2"/>
      <c r="I12" s="2"/>
      <c r="J12" s="2"/>
      <c r="K12" s="2"/>
    </row>
    <row r="13" spans="1:11" x14ac:dyDescent="0.25">
      <c r="G13" s="2"/>
      <c r="H13" s="2"/>
      <c r="I13" s="2"/>
      <c r="J13" s="2"/>
      <c r="K13" s="2"/>
    </row>
    <row r="14" spans="1:11" x14ac:dyDescent="0.25">
      <c r="G14" s="2"/>
      <c r="H14" s="2"/>
      <c r="I14" s="2"/>
      <c r="J14" s="2"/>
      <c r="K14" s="2"/>
    </row>
    <row r="15" spans="1:11" x14ac:dyDescent="0.25">
      <c r="G15" s="2"/>
      <c r="H15" s="2"/>
      <c r="I15" s="2"/>
      <c r="J15" s="2"/>
      <c r="K15" s="2"/>
    </row>
  </sheetData>
  <mergeCells count="1">
    <mergeCell ref="G4:K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741A7-F5A4-4AA0-9B44-50379D5A9B64}">
  <dimension ref="A1:O14"/>
  <sheetViews>
    <sheetView tabSelected="1" workbookViewId="0">
      <selection activeCell="G13" sqref="G13"/>
    </sheetView>
  </sheetViews>
  <sheetFormatPr defaultRowHeight="15" x14ac:dyDescent="0.25"/>
  <cols>
    <col min="1" max="1" width="12.85546875" customWidth="1"/>
    <col min="2" max="2" width="18.85546875" customWidth="1"/>
    <col min="3" max="3" width="17.42578125" customWidth="1"/>
    <col min="4" max="4" width="13.28515625" customWidth="1"/>
  </cols>
  <sheetData>
    <row r="1" spans="1:15" x14ac:dyDescent="0.25">
      <c r="A1" s="4" t="s">
        <v>39</v>
      </c>
      <c r="B1" s="4" t="s">
        <v>40</v>
      </c>
      <c r="C1" s="4" t="s">
        <v>41</v>
      </c>
      <c r="D1" s="4" t="s">
        <v>42</v>
      </c>
    </row>
    <row r="2" spans="1:15" x14ac:dyDescent="0.25">
      <c r="A2" s="5" t="s">
        <v>43</v>
      </c>
      <c r="B2" s="5">
        <v>45</v>
      </c>
      <c r="C2" s="5">
        <v>92</v>
      </c>
      <c r="D2" t="str">
        <f>IF(AND(A2&gt;=90,B2&gt;=40),"Excellent",IF(A2&gt;=80,"Good","Needs Improvement"))</f>
        <v>Excellent</v>
      </c>
    </row>
    <row r="3" spans="1:15" x14ac:dyDescent="0.25">
      <c r="A3" s="5" t="s">
        <v>44</v>
      </c>
      <c r="B3" s="5">
        <v>38</v>
      </c>
      <c r="C3" s="5">
        <v>85</v>
      </c>
      <c r="D3" s="5" t="str">
        <f>IF(AND(C2&gt;=90,B2&gt;=40),"Excellent",IF(C2&lt;=80,"Good","Needs Improvement"))</f>
        <v>Excellent</v>
      </c>
    </row>
    <row r="4" spans="1:15" x14ac:dyDescent="0.25">
      <c r="A4" s="5" t="s">
        <v>45</v>
      </c>
      <c r="B4" s="5">
        <v>50</v>
      </c>
      <c r="C4" s="5">
        <v>95</v>
      </c>
      <c r="D4" s="5" t="str">
        <f>IF(AND(C4&gt;=90,B4&gt;=40),"Excellent",IF(C4&gt;=80,"Good","Needs Improvement"))</f>
        <v>Excellent</v>
      </c>
      <c r="K4" s="2" t="s">
        <v>38</v>
      </c>
      <c r="L4" s="2"/>
      <c r="M4" s="2"/>
      <c r="N4" s="2"/>
      <c r="O4" s="2"/>
    </row>
    <row r="5" spans="1:15" x14ac:dyDescent="0.25">
      <c r="A5" s="5" t="s">
        <v>46</v>
      </c>
      <c r="B5" s="5">
        <v>30</v>
      </c>
      <c r="C5" s="5">
        <v>70</v>
      </c>
      <c r="D5" s="5" t="str">
        <f t="shared" ref="D5:D6" si="0">IF(AND(C5&gt;=90,B5&gt;=40),"Excellent",IF(C5&gt;=80,"Good","Needs Improvement"))</f>
        <v>Needs Improvement</v>
      </c>
      <c r="K5" s="2"/>
      <c r="L5" s="2"/>
      <c r="M5" s="2"/>
      <c r="N5" s="2"/>
      <c r="O5" s="2"/>
    </row>
    <row r="6" spans="1:15" x14ac:dyDescent="0.25">
      <c r="A6" s="5" t="s">
        <v>47</v>
      </c>
      <c r="B6" s="5">
        <v>42</v>
      </c>
      <c r="C6" s="5">
        <v>88</v>
      </c>
      <c r="D6" s="5" t="str">
        <f t="shared" si="0"/>
        <v>Good</v>
      </c>
      <c r="K6" s="2"/>
      <c r="L6" s="2"/>
      <c r="M6" s="2"/>
      <c r="N6" s="2"/>
      <c r="O6" s="2"/>
    </row>
    <row r="7" spans="1:15" x14ac:dyDescent="0.25">
      <c r="K7" s="2"/>
      <c r="L7" s="2"/>
      <c r="M7" s="2"/>
      <c r="N7" s="2"/>
      <c r="O7" s="2"/>
    </row>
    <row r="8" spans="1:15" x14ac:dyDescent="0.25">
      <c r="K8" s="2"/>
      <c r="L8" s="2"/>
      <c r="M8" s="2"/>
      <c r="N8" s="2"/>
      <c r="O8" s="2"/>
    </row>
    <row r="9" spans="1:15" x14ac:dyDescent="0.25">
      <c r="K9" s="2"/>
      <c r="L9" s="2"/>
      <c r="M9" s="2"/>
      <c r="N9" s="2"/>
      <c r="O9" s="2"/>
    </row>
    <row r="10" spans="1:15" x14ac:dyDescent="0.25">
      <c r="K10" s="2"/>
      <c r="L10" s="2"/>
      <c r="M10" s="2"/>
      <c r="N10" s="2"/>
      <c r="O10" s="2"/>
    </row>
    <row r="11" spans="1:15" x14ac:dyDescent="0.25">
      <c r="K11" s="2"/>
      <c r="L11" s="2"/>
      <c r="M11" s="2"/>
      <c r="N11" s="2"/>
      <c r="O11" s="2"/>
    </row>
    <row r="12" spans="1:15" x14ac:dyDescent="0.25">
      <c r="K12" s="2"/>
      <c r="L12" s="2"/>
      <c r="M12" s="2"/>
      <c r="N12" s="2"/>
      <c r="O12" s="2"/>
    </row>
    <row r="13" spans="1:15" x14ac:dyDescent="0.25">
      <c r="K13" s="2"/>
      <c r="L13" s="2"/>
      <c r="M13" s="2"/>
      <c r="N13" s="2"/>
      <c r="O13" s="2"/>
    </row>
    <row r="14" spans="1:15" x14ac:dyDescent="0.25">
      <c r="K14" s="2"/>
      <c r="L14" s="2"/>
      <c r="M14" s="2"/>
      <c r="N14" s="2"/>
      <c r="O14" s="2"/>
    </row>
  </sheetData>
  <mergeCells count="1">
    <mergeCell ref="K4:O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94742-DACC-4AF3-AB3E-76D2AF2A7314}">
  <dimension ref="A1:P17"/>
  <sheetViews>
    <sheetView workbookViewId="0">
      <selection activeCell="I23" sqref="I23"/>
    </sheetView>
  </sheetViews>
  <sheetFormatPr defaultRowHeight="15" x14ac:dyDescent="0.25"/>
  <cols>
    <col min="1" max="1" width="10.7109375" customWidth="1"/>
    <col min="2" max="2" width="13.7109375" customWidth="1"/>
    <col min="3" max="3" width="10.140625" customWidth="1"/>
    <col min="4" max="4" width="11.28515625" customWidth="1"/>
  </cols>
  <sheetData>
    <row r="1" spans="1:16" x14ac:dyDescent="0.25">
      <c r="A1" s="4" t="s">
        <v>49</v>
      </c>
      <c r="B1" s="4" t="s">
        <v>50</v>
      </c>
      <c r="C1" s="7" t="s">
        <v>9</v>
      </c>
      <c r="D1" s="6" t="s">
        <v>51</v>
      </c>
    </row>
    <row r="2" spans="1:16" x14ac:dyDescent="0.25">
      <c r="A2" s="5">
        <v>10</v>
      </c>
      <c r="B2" s="5">
        <v>2</v>
      </c>
      <c r="C2" s="5">
        <f>IFERROR(A2/B2,"Not Valid")</f>
        <v>5</v>
      </c>
      <c r="D2" s="5">
        <f>A2/B2</f>
        <v>5</v>
      </c>
    </row>
    <row r="3" spans="1:16" x14ac:dyDescent="0.25">
      <c r="A3" s="5">
        <v>15</v>
      </c>
      <c r="B3" s="5">
        <v>0</v>
      </c>
      <c r="C3" s="5" t="str">
        <f t="shared" ref="C3:C6" si="0">IFERROR(A3/B3,"Not Valid")</f>
        <v>Not Valid</v>
      </c>
      <c r="D3" s="5" t="e">
        <f>A3/B3</f>
        <v>#DIV/0!</v>
      </c>
    </row>
    <row r="4" spans="1:16" x14ac:dyDescent="0.25">
      <c r="A4" s="5">
        <v>20</v>
      </c>
      <c r="B4" s="5">
        <v>5</v>
      </c>
      <c r="C4" s="5">
        <f t="shared" si="0"/>
        <v>4</v>
      </c>
      <c r="D4" s="5">
        <f>A4/B4</f>
        <v>4</v>
      </c>
      <c r="L4" s="2" t="s">
        <v>48</v>
      </c>
      <c r="M4" s="2"/>
      <c r="N4" s="2"/>
      <c r="O4" s="2"/>
      <c r="P4" s="2"/>
    </row>
    <row r="5" spans="1:16" x14ac:dyDescent="0.25">
      <c r="A5" s="5">
        <v>8</v>
      </c>
      <c r="B5" s="5">
        <v>0</v>
      </c>
      <c r="C5" s="5" t="str">
        <f t="shared" si="0"/>
        <v>Not Valid</v>
      </c>
      <c r="D5" s="5" t="e">
        <f>A5/B5</f>
        <v>#DIV/0!</v>
      </c>
      <c r="L5" s="2"/>
      <c r="M5" s="2"/>
      <c r="N5" s="2"/>
      <c r="O5" s="2"/>
      <c r="P5" s="2"/>
    </row>
    <row r="6" spans="1:16" x14ac:dyDescent="0.25">
      <c r="A6" s="5">
        <v>25</v>
      </c>
      <c r="B6" s="5">
        <v>5</v>
      </c>
      <c r="C6" s="5">
        <f t="shared" si="0"/>
        <v>5</v>
      </c>
      <c r="D6" s="5">
        <f>A6/B6</f>
        <v>5</v>
      </c>
      <c r="L6" s="2"/>
      <c r="M6" s="2"/>
      <c r="N6" s="2"/>
      <c r="O6" s="2"/>
      <c r="P6" s="2"/>
    </row>
    <row r="7" spans="1:16" x14ac:dyDescent="0.25">
      <c r="L7" s="2"/>
      <c r="M7" s="2"/>
      <c r="N7" s="2"/>
      <c r="O7" s="2"/>
      <c r="P7" s="2"/>
    </row>
    <row r="8" spans="1:16" x14ac:dyDescent="0.25">
      <c r="L8" s="2"/>
      <c r="M8" s="2"/>
      <c r="N8" s="2"/>
      <c r="O8" s="2"/>
      <c r="P8" s="2"/>
    </row>
    <row r="9" spans="1:16" x14ac:dyDescent="0.25">
      <c r="L9" s="2"/>
      <c r="M9" s="2"/>
      <c r="N9" s="2"/>
      <c r="O9" s="2"/>
      <c r="P9" s="2"/>
    </row>
    <row r="10" spans="1:16" x14ac:dyDescent="0.25">
      <c r="L10" s="2"/>
      <c r="M10" s="2"/>
      <c r="N10" s="2"/>
      <c r="O10" s="2"/>
      <c r="P10" s="2"/>
    </row>
    <row r="11" spans="1:16" x14ac:dyDescent="0.25">
      <c r="L11" s="2"/>
      <c r="M11" s="2"/>
      <c r="N11" s="2"/>
      <c r="O11" s="2"/>
      <c r="P11" s="2"/>
    </row>
    <row r="12" spans="1:16" x14ac:dyDescent="0.25">
      <c r="L12" s="2"/>
      <c r="M12" s="2"/>
      <c r="N12" s="2"/>
      <c r="O12" s="2"/>
      <c r="P12" s="2"/>
    </row>
    <row r="13" spans="1:16" x14ac:dyDescent="0.25">
      <c r="L13" s="2"/>
      <c r="M13" s="2"/>
      <c r="N13" s="2"/>
      <c r="O13" s="2"/>
      <c r="P13" s="2"/>
    </row>
    <row r="14" spans="1:16" x14ac:dyDescent="0.25">
      <c r="L14" s="2"/>
      <c r="M14" s="2"/>
      <c r="N14" s="2"/>
      <c r="O14" s="2"/>
      <c r="P14" s="2"/>
    </row>
    <row r="15" spans="1:16" x14ac:dyDescent="0.25">
      <c r="L15" s="2"/>
      <c r="M15" s="2"/>
      <c r="N15" s="2"/>
      <c r="O15" s="2"/>
      <c r="P15" s="2"/>
    </row>
    <row r="16" spans="1:16" x14ac:dyDescent="0.25">
      <c r="L16" s="2"/>
      <c r="M16" s="2"/>
      <c r="N16" s="2"/>
      <c r="O16" s="2"/>
      <c r="P16" s="2"/>
    </row>
    <row r="17" spans="12:16" x14ac:dyDescent="0.25">
      <c r="L17" s="2"/>
      <c r="M17" s="2"/>
      <c r="N17" s="2"/>
      <c r="O17" s="2"/>
      <c r="P17" s="2"/>
    </row>
  </sheetData>
  <mergeCells count="1">
    <mergeCell ref="L4:P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student_result_if</vt:lpstr>
      <vt:lpstr>Grading_student_if</vt:lpstr>
      <vt:lpstr>Eligiblity_AND</vt:lpstr>
      <vt:lpstr>Discount_OR</vt:lpstr>
      <vt:lpstr>Attedence_not</vt:lpstr>
      <vt:lpstr>facutly_evulation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Library1</dc:creator>
  <cp:lastModifiedBy>Library1</cp:lastModifiedBy>
  <dcterms:created xsi:type="dcterms:W3CDTF">2026-08-11T11:32:57Z</dcterms:created>
  <dcterms:modified xsi:type="dcterms:W3CDTF">2026-08-11T12:19:50Z</dcterms:modified>
</cp:coreProperties>
</file>