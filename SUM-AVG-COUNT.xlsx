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rary6\Downloads\"/>
    </mc:Choice>
  </mc:AlternateContent>
  <xr:revisionPtr revIDLastSave="0" documentId="8_{0E3A0BD4-5BC4-48F3-A90D-90013985AF3D}" xr6:coauthVersionLast="47" xr6:coauthVersionMax="47" xr10:uidLastSave="{00000000-0000-0000-0000-000000000000}"/>
  <bookViews>
    <workbookView xWindow="-120" yWindow="-120" windowWidth="21840" windowHeight="13020" activeTab="2" xr2:uid="{B414E743-4E3B-4D27-8444-9F771E2BEFC9}"/>
  </bookViews>
  <sheets>
    <sheet name="sum_funcations" sheetId="1" r:id="rId1"/>
    <sheet name="Avg_funcations" sheetId="2" r:id="rId2"/>
    <sheet name="Count_fun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5" i="3" l="1"/>
  <c r="B14" i="3"/>
  <c r="B13" i="3"/>
  <c r="B12" i="3"/>
  <c r="B11" i="3"/>
  <c r="B14" i="2"/>
  <c r="B13" i="2"/>
  <c r="B12" i="2"/>
  <c r="C15" i="1"/>
  <c r="B15" i="1"/>
  <c r="B14" i="1"/>
  <c r="B13" i="1"/>
  <c r="B12" i="1"/>
</calcChain>
</file>

<file path=xl/sharedStrings.xml><?xml version="1.0" encoding="utf-8"?>
<sst xmlns="http://schemas.openxmlformats.org/spreadsheetml/2006/main" count="72" uniqueCount="26">
  <si>
    <t>Student</t>
  </si>
  <si>
    <t>Marks</t>
  </si>
  <si>
    <t>Attendance</t>
  </si>
  <si>
    <t>Class</t>
  </si>
  <si>
    <t>Aman</t>
  </si>
  <si>
    <t>A</t>
  </si>
  <si>
    <t>Ritu</t>
  </si>
  <si>
    <t>Ravi</t>
  </si>
  <si>
    <t>B</t>
  </si>
  <si>
    <t>Sita</t>
  </si>
  <si>
    <t>Neha</t>
  </si>
  <si>
    <t>Raj</t>
  </si>
  <si>
    <t>Priya</t>
  </si>
  <si>
    <t>Karan</t>
  </si>
  <si>
    <t>Total Marks</t>
  </si>
  <si>
    <t>Total Attendance</t>
  </si>
  <si>
    <t>Total Marks Class A</t>
  </si>
  <si>
    <t>Total Marks &gt;80 Class A</t>
  </si>
  <si>
    <t>Average Marks</t>
  </si>
  <si>
    <t>Average Marks Class A</t>
  </si>
  <si>
    <t>Average Marks &gt;70</t>
  </si>
  <si>
    <t>Count Blank</t>
  </si>
  <si>
    <t>Count Students</t>
  </si>
  <si>
    <t>Count Students Class B</t>
  </si>
  <si>
    <t>Count Marks &gt;50</t>
  </si>
  <si>
    <t>Count Marks&gt;50 Class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</si>
</sst>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0052-0CD4-4073-88CC-31609E7BEEEB}">
  <dimension ref="A1:D15"/>
  <sheetViews>
    <sheetView workbookViewId="0">
      <selection activeCell="D21" sqref="D21"/>
    </sheetView>
  </sheetViews>
  <sheetFormatPr defaultRowHeight="15" x14ac:dyDescent="0.25"/>
  <cols>
    <col min="1" max="1" width="23.7109375" customWidth="1"/>
    <col min="2" max="2" width="12" customWidth="1"/>
    <col min="3" max="3" width="13.85546875" customWidth="1"/>
    <col min="4" max="4" width="14.425781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>
        <v>78</v>
      </c>
      <c r="C2" s="2">
        <v>20</v>
      </c>
      <c r="D2" s="2" t="s">
        <v>5</v>
      </c>
    </row>
    <row r="3" spans="1:4" x14ac:dyDescent="0.25">
      <c r="A3" s="2" t="s">
        <v>6</v>
      </c>
      <c r="B3" s="2">
        <v>85</v>
      </c>
      <c r="C3" s="2">
        <v>22</v>
      </c>
      <c r="D3" s="2" t="s">
        <v>5</v>
      </c>
    </row>
    <row r="4" spans="1:4" x14ac:dyDescent="0.25">
      <c r="A4" s="2" t="s">
        <v>7</v>
      </c>
      <c r="B4" s="2">
        <v>45</v>
      </c>
      <c r="C4" s="2">
        <v>18</v>
      </c>
      <c r="D4" s="2" t="s">
        <v>8</v>
      </c>
    </row>
    <row r="5" spans="1:4" x14ac:dyDescent="0.25">
      <c r="A5" s="2" t="s">
        <v>9</v>
      </c>
      <c r="B5" s="2">
        <v>90</v>
      </c>
      <c r="C5" s="2">
        <v>25</v>
      </c>
      <c r="D5" s="2" t="s">
        <v>5</v>
      </c>
    </row>
    <row r="6" spans="1:4" x14ac:dyDescent="0.25">
      <c r="A6" s="2" t="s">
        <v>10</v>
      </c>
      <c r="B6" s="2">
        <v>60</v>
      </c>
      <c r="C6" s="2">
        <v>19</v>
      </c>
      <c r="D6" s="2" t="s">
        <v>8</v>
      </c>
    </row>
    <row r="7" spans="1:4" x14ac:dyDescent="0.25">
      <c r="A7" s="2" t="s">
        <v>11</v>
      </c>
      <c r="B7" s="2">
        <v>72</v>
      </c>
      <c r="C7" s="2">
        <v>21</v>
      </c>
      <c r="D7" s="2" t="s">
        <v>5</v>
      </c>
    </row>
    <row r="8" spans="1:4" x14ac:dyDescent="0.25">
      <c r="A8" s="2" t="s">
        <v>12</v>
      </c>
      <c r="B8" s="2">
        <v>55</v>
      </c>
      <c r="C8" s="2">
        <v>17</v>
      </c>
      <c r="D8" s="2" t="s">
        <v>8</v>
      </c>
    </row>
    <row r="9" spans="1:4" x14ac:dyDescent="0.25">
      <c r="A9" s="2" t="s">
        <v>13</v>
      </c>
      <c r="B9" s="2">
        <v>88</v>
      </c>
      <c r="C9" s="2">
        <v>23</v>
      </c>
      <c r="D9" s="2" t="s">
        <v>5</v>
      </c>
    </row>
    <row r="12" spans="1:4" x14ac:dyDescent="0.25">
      <c r="A12" s="1" t="s">
        <v>14</v>
      </c>
      <c r="B12" s="2">
        <f>SUM(B2:B9)</f>
        <v>573</v>
      </c>
    </row>
    <row r="13" spans="1:4" x14ac:dyDescent="0.25">
      <c r="A13" s="1" t="s">
        <v>15</v>
      </c>
      <c r="B13" s="2">
        <f>SUM(C2:C9)</f>
        <v>165</v>
      </c>
    </row>
    <row r="14" spans="1:4" x14ac:dyDescent="0.25">
      <c r="A14" s="1" t="s">
        <v>16</v>
      </c>
      <c r="B14" s="2">
        <f>SUMIF(D2:D9,"A",B2:B9)</f>
        <v>413</v>
      </c>
    </row>
    <row r="15" spans="1:4" x14ac:dyDescent="0.25">
      <c r="A15" s="1" t="s">
        <v>17</v>
      </c>
      <c r="B15" s="2">
        <f>SUMIFS(B2:B9,B2:B9,"&gt;80",D2:D9,"A")</f>
        <v>263</v>
      </c>
      <c r="C15">
        <f>SUMIFS(B2:B9,B2:B9,"&gt;80",D2:D9,"A")</f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8E41-0912-4384-8415-A8953DE8DB3A}">
  <dimension ref="A1:D14"/>
  <sheetViews>
    <sheetView workbookViewId="0">
      <selection activeCell="F19" sqref="F19"/>
    </sheetView>
  </sheetViews>
  <sheetFormatPr defaultRowHeight="15" x14ac:dyDescent="0.25"/>
  <cols>
    <col min="1" max="1" width="24.140625" customWidth="1"/>
    <col min="2" max="2" width="13.7109375" customWidth="1"/>
    <col min="3" max="3" width="14" customWidth="1"/>
    <col min="4" max="4" width="10.57031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>
        <v>78</v>
      </c>
      <c r="C2" s="2">
        <v>20</v>
      </c>
      <c r="D2" s="2" t="s">
        <v>5</v>
      </c>
    </row>
    <row r="3" spans="1:4" x14ac:dyDescent="0.25">
      <c r="A3" s="2" t="s">
        <v>6</v>
      </c>
      <c r="B3" s="2">
        <v>85</v>
      </c>
      <c r="C3" s="2">
        <v>22</v>
      </c>
      <c r="D3" s="2" t="s">
        <v>5</v>
      </c>
    </row>
    <row r="4" spans="1:4" x14ac:dyDescent="0.25">
      <c r="A4" s="2" t="s">
        <v>7</v>
      </c>
      <c r="B4" s="2">
        <v>45</v>
      </c>
      <c r="C4" s="2">
        <v>18</v>
      </c>
      <c r="D4" s="2" t="s">
        <v>8</v>
      </c>
    </row>
    <row r="5" spans="1:4" x14ac:dyDescent="0.25">
      <c r="A5" s="2" t="s">
        <v>9</v>
      </c>
      <c r="B5" s="2">
        <v>90</v>
      </c>
      <c r="C5" s="2">
        <v>25</v>
      </c>
      <c r="D5" s="2" t="s">
        <v>5</v>
      </c>
    </row>
    <row r="6" spans="1:4" x14ac:dyDescent="0.25">
      <c r="A6" s="2" t="s">
        <v>10</v>
      </c>
      <c r="B6" s="2">
        <v>60</v>
      </c>
      <c r="C6" s="2">
        <v>19</v>
      </c>
      <c r="D6" s="2" t="s">
        <v>8</v>
      </c>
    </row>
    <row r="7" spans="1:4" x14ac:dyDescent="0.25">
      <c r="A7" s="2" t="s">
        <v>11</v>
      </c>
      <c r="B7" s="2">
        <v>72</v>
      </c>
      <c r="C7" s="2">
        <v>21</v>
      </c>
      <c r="D7" s="2" t="s">
        <v>5</v>
      </c>
    </row>
    <row r="8" spans="1:4" x14ac:dyDescent="0.25">
      <c r="A8" s="2" t="s">
        <v>12</v>
      </c>
      <c r="B8" s="2">
        <v>55</v>
      </c>
      <c r="C8" s="2">
        <v>17</v>
      </c>
      <c r="D8" s="2" t="s">
        <v>8</v>
      </c>
    </row>
    <row r="9" spans="1:4" x14ac:dyDescent="0.25">
      <c r="A9" s="2" t="s">
        <v>13</v>
      </c>
      <c r="B9" s="2">
        <v>88</v>
      </c>
      <c r="C9" s="2">
        <v>23</v>
      </c>
      <c r="D9" s="2" t="s">
        <v>5</v>
      </c>
    </row>
    <row r="12" spans="1:4" x14ac:dyDescent="0.25">
      <c r="A12" s="1" t="s">
        <v>18</v>
      </c>
      <c r="B12" s="2">
        <f>AVERAGE(B2:B9)</f>
        <v>71.625</v>
      </c>
    </row>
    <row r="13" spans="1:4" x14ac:dyDescent="0.25">
      <c r="A13" s="1" t="s">
        <v>19</v>
      </c>
      <c r="B13" s="2">
        <f>AVERAGEIF(D2:D9,"A",B2:B9)</f>
        <v>82.6</v>
      </c>
    </row>
    <row r="14" spans="1:4" x14ac:dyDescent="0.25">
      <c r="A14" s="1" t="s">
        <v>20</v>
      </c>
      <c r="B14" s="2">
        <f>AVERAGEIF(B2:B9,"&gt;70")</f>
        <v>82.6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67BB-9B05-4E18-94CE-A3D812A03641}">
  <dimension ref="A1:D15"/>
  <sheetViews>
    <sheetView tabSelected="1" workbookViewId="0">
      <selection activeCell="H12" sqref="H12"/>
    </sheetView>
  </sheetViews>
  <sheetFormatPr defaultRowHeight="15" x14ac:dyDescent="0.25"/>
  <cols>
    <col min="1" max="1" width="27.42578125" customWidth="1"/>
    <col min="2" max="2" width="13.5703125" customWidth="1"/>
    <col min="3" max="3" width="14.85546875" customWidth="1"/>
    <col min="4" max="4" width="10.710937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>
        <v>78</v>
      </c>
      <c r="C2" s="2">
        <v>20</v>
      </c>
      <c r="D2" s="2" t="s">
        <v>5</v>
      </c>
    </row>
    <row r="3" spans="1:4" x14ac:dyDescent="0.25">
      <c r="A3" s="2" t="s">
        <v>6</v>
      </c>
      <c r="B3" s="2">
        <v>85</v>
      </c>
      <c r="C3" s="2">
        <v>22</v>
      </c>
      <c r="D3" s="2" t="s">
        <v>5</v>
      </c>
    </row>
    <row r="4" spans="1:4" x14ac:dyDescent="0.25">
      <c r="A4" s="2" t="s">
        <v>7</v>
      </c>
      <c r="B4" s="2">
        <v>45</v>
      </c>
      <c r="C4" s="2">
        <v>18</v>
      </c>
      <c r="D4" s="2" t="s">
        <v>8</v>
      </c>
    </row>
    <row r="5" spans="1:4" x14ac:dyDescent="0.25">
      <c r="A5" s="2" t="s">
        <v>9</v>
      </c>
      <c r="B5" s="2">
        <v>90</v>
      </c>
      <c r="C5" s="2"/>
      <c r="D5" s="2" t="s">
        <v>5</v>
      </c>
    </row>
    <row r="6" spans="1:4" x14ac:dyDescent="0.25">
      <c r="A6" s="2" t="s">
        <v>10</v>
      </c>
      <c r="B6" s="2">
        <v>60</v>
      </c>
      <c r="C6" s="2">
        <v>19</v>
      </c>
      <c r="D6" s="2" t="s">
        <v>8</v>
      </c>
    </row>
    <row r="7" spans="1:4" x14ac:dyDescent="0.25">
      <c r="A7" s="2" t="s">
        <v>11</v>
      </c>
      <c r="B7" s="2">
        <v>72</v>
      </c>
      <c r="C7" s="2">
        <v>21</v>
      </c>
      <c r="D7" s="2" t="s">
        <v>5</v>
      </c>
    </row>
    <row r="8" spans="1:4" x14ac:dyDescent="0.25">
      <c r="A8" s="2" t="s">
        <v>12</v>
      </c>
      <c r="B8" s="2">
        <v>55</v>
      </c>
      <c r="C8" s="2">
        <v>17</v>
      </c>
      <c r="D8" s="2" t="s">
        <v>8</v>
      </c>
    </row>
    <row r="9" spans="1:4" x14ac:dyDescent="0.25">
      <c r="A9" s="2" t="s">
        <v>13</v>
      </c>
      <c r="B9" s="2">
        <v>88</v>
      </c>
      <c r="C9" s="2">
        <v>23</v>
      </c>
      <c r="D9" s="2" t="s">
        <v>5</v>
      </c>
    </row>
    <row r="11" spans="1:4" x14ac:dyDescent="0.25">
      <c r="A11" s="4" t="s">
        <v>21</v>
      </c>
      <c r="B11" s="2">
        <f>COUNTBLANK(C2:C9)</f>
        <v>1</v>
      </c>
    </row>
    <row r="12" spans="1:4" x14ac:dyDescent="0.25">
      <c r="A12" s="1" t="s">
        <v>22</v>
      </c>
      <c r="B12" s="2">
        <f>COUNTA(A2:A9)</f>
        <v>8</v>
      </c>
    </row>
    <row r="13" spans="1:4" x14ac:dyDescent="0.25">
      <c r="A13" s="1" t="s">
        <v>23</v>
      </c>
      <c r="B13" s="2">
        <f>COUNTIF(D2:D9,"B")</f>
        <v>3</v>
      </c>
    </row>
    <row r="14" spans="1:4" x14ac:dyDescent="0.25">
      <c r="A14" s="1" t="s">
        <v>24</v>
      </c>
      <c r="B14" s="2">
        <f>COUNTIF(B2:B9,"&gt;50")</f>
        <v>7</v>
      </c>
    </row>
    <row r="15" spans="1:4" x14ac:dyDescent="0.25">
      <c r="A15" s="1" t="s">
        <v>25</v>
      </c>
      <c r="B15" s="2">
        <f>COUNTIFS(B2:B9,"&gt;50",D2:D9,"A")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sum_funcations</vt:lpstr>
      <vt:lpstr>Avg_funcations</vt:lpstr>
      <vt:lpstr>Count_funcations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Library6</dc:creator>
  <cp:lastModifiedBy>Library6</cp:lastModifiedBy>
  <dcterms:created xsi:type="dcterms:W3CDTF">2026-08-12T07:51:43Z</dcterms:created>
  <dcterms:modified xsi:type="dcterms:W3CDTF">2026-08-12T08:22:28Z</dcterms:modified>
</cp:coreProperties>
</file>