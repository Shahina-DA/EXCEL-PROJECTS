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rary1\Downloads\"/>
    </mc:Choice>
  </mc:AlternateContent>
  <xr:revisionPtr revIDLastSave="0" documentId="8_{0FEDB1C6-6CAD-490D-8250-BB018ABA0EE0}" xr6:coauthVersionLast="47" xr6:coauthVersionMax="47" xr10:uidLastSave="{00000000-0000-0000-0000-000000000000}"/>
  <bookViews>
    <workbookView xWindow="-120" yWindow="-120" windowWidth="20730" windowHeight="11040" xr2:uid="{71228BE0-AD9C-46C1-BB52-2B92FE47802C}"/>
  </bookViews>
  <sheets>
    <sheet name="concet_concante" sheetId="1" r:id="rId1"/>
    <sheet name="trim" sheetId="2" r:id="rId2"/>
    <sheet name="left_right_mid_lens" sheetId="3" r:id="rId3"/>
    <sheet name="email_split" sheetId="4" r:id="rId4"/>
  </sheets>
  <definedNames>
    <definedName name="_xlnm._FilterDatabase" localSheetId="1" hidden="1">trim!$A$2:$G$21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" i="4" l="1"/>
  <c r="C10" i="4"/>
  <c r="B10" i="4"/>
  <c r="C6" i="4"/>
  <c r="C5" i="4"/>
  <c r="C4" i="4"/>
  <c r="B8" i="4"/>
  <c r="B7" i="4"/>
  <c r="B6" i="4"/>
  <c r="B5" i="4"/>
  <c r="B4" i="4"/>
  <c r="E6" i="3"/>
  <c r="E5" i="3"/>
  <c r="E4" i="3"/>
  <c r="E3" i="3"/>
  <c r="E2" i="3"/>
  <c r="D6" i="3"/>
  <c r="D5" i="3"/>
  <c r="D4" i="3"/>
  <c r="D3" i="3"/>
  <c r="D2" i="3"/>
  <c r="C6" i="3"/>
  <c r="C5" i="3"/>
  <c r="C4" i="3"/>
  <c r="C3" i="3"/>
  <c r="C2" i="3"/>
  <c r="B6" i="3"/>
  <c r="B5" i="3"/>
  <c r="B4" i="3"/>
  <c r="B3" i="3"/>
  <c r="B2" i="3"/>
  <c r="Q10" i="2"/>
  <c r="Q11" i="2"/>
  <c r="Q12" i="2"/>
  <c r="Q13" i="2"/>
  <c r="Q14" i="2"/>
  <c r="Q15" i="2"/>
  <c r="Q16" i="2"/>
  <c r="Q17" i="2"/>
  <c r="Q18" i="2"/>
  <c r="Q19" i="2"/>
  <c r="Q20" i="2"/>
  <c r="Q21" i="2"/>
  <c r="Q9" i="2"/>
  <c r="Q8" i="2"/>
  <c r="Q7" i="2"/>
  <c r="Q6" i="2"/>
  <c r="Q5" i="2"/>
  <c r="Q4" i="2"/>
  <c r="Q3" i="2"/>
  <c r="Q2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7" i="2"/>
  <c r="P6" i="2"/>
  <c r="P5" i="2"/>
  <c r="P4" i="2"/>
  <c r="P3" i="2"/>
  <c r="P2" i="2"/>
  <c r="O11" i="2"/>
  <c r="O12" i="2"/>
  <c r="O13" i="2"/>
  <c r="O14" i="2"/>
  <c r="O15" i="2"/>
  <c r="O16" i="2"/>
  <c r="O17" i="2"/>
  <c r="O18" i="2"/>
  <c r="O19" i="2"/>
  <c r="O20" i="2"/>
  <c r="O21" i="2"/>
  <c r="O10" i="2"/>
  <c r="O9" i="2"/>
  <c r="O8" i="2"/>
  <c r="O7" i="2"/>
  <c r="O5" i="2"/>
  <c r="O6" i="2"/>
  <c r="O4" i="2"/>
  <c r="O3" i="2"/>
  <c r="O2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5" i="2"/>
  <c r="N4" i="2"/>
  <c r="N3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K16" i="2"/>
  <c r="K17" i="2"/>
  <c r="K18" i="2"/>
  <c r="K19" i="2"/>
  <c r="K20" i="2"/>
  <c r="K2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2" i="2"/>
  <c r="C6" i="1"/>
  <c r="C5" i="1"/>
  <c r="C4" i="1"/>
  <c r="C3" i="1"/>
  <c r="C2" i="1"/>
</calcChain>
</file>

<file path=xl/sharedStrings.xml><?xml version="1.0" encoding="utf-8"?>
<sst xmlns="http://schemas.openxmlformats.org/spreadsheetml/2006/main" count="167" uniqueCount="115">
  <si>
    <t>First Name</t>
  </si>
  <si>
    <t>Last Name</t>
  </si>
  <si>
    <t>Full Name</t>
  </si>
  <si>
    <t>Aman</t>
  </si>
  <si>
    <t>Sharma</t>
  </si>
  <si>
    <t>Neha</t>
  </si>
  <si>
    <t>Verma</t>
  </si>
  <si>
    <t>Rohit</t>
  </si>
  <si>
    <t>Mehta</t>
  </si>
  <si>
    <t>Deepa</t>
  </si>
  <si>
    <t>Singh</t>
  </si>
  <si>
    <t>Farhan</t>
  </si>
  <si>
    <t>Khan</t>
  </si>
  <si>
    <t>Emp_ID</t>
  </si>
  <si>
    <t>Employee_Name</t>
  </si>
  <si>
    <t>Department</t>
  </si>
  <si>
    <t>City</t>
  </si>
  <si>
    <t>Email</t>
  </si>
  <si>
    <t>Salary</t>
  </si>
  <si>
    <t>Joining_Date</t>
  </si>
  <si>
    <t>E001</t>
  </si>
  <si>
    <t>rahul shah</t>
  </si>
  <si>
    <t>sales</t>
  </si>
  <si>
    <t>Ahmedabad</t>
  </si>
  <si>
    <t>rahul@gmail.com</t>
  </si>
  <si>
    <t>E002</t>
  </si>
  <si>
    <t>Priya Patel</t>
  </si>
  <si>
    <t>SALES</t>
  </si>
  <si>
    <t>ahmedabad</t>
  </si>
  <si>
    <t>priya@gmail.com</t>
  </si>
  <si>
    <t>E003</t>
  </si>
  <si>
    <t>AMIT KUMAR</t>
  </si>
  <si>
    <t>IT</t>
  </si>
  <si>
    <t>Mumbai</t>
  </si>
  <si>
    <t>amit@gmail.com</t>
  </si>
  <si>
    <t>E004</t>
  </si>
  <si>
    <t>neha joshi</t>
  </si>
  <si>
    <t>hr</t>
  </si>
  <si>
    <t>neha@gmail.com</t>
  </si>
  <si>
    <t>E005</t>
  </si>
  <si>
    <t>Rohan Mehta</t>
  </si>
  <si>
    <t>Finance</t>
  </si>
  <si>
    <t>DELHI</t>
  </si>
  <si>
    <t>rohan@gmail.com</t>
  </si>
  <si>
    <t>E006</t>
  </si>
  <si>
    <t>Sneha Shah</t>
  </si>
  <si>
    <t>finance</t>
  </si>
  <si>
    <t>Delhi</t>
  </si>
  <si>
    <t>sneha@gmail.com</t>
  </si>
  <si>
    <t>E007</t>
  </si>
  <si>
    <t>karan patel</t>
  </si>
  <si>
    <t>karan@gmail.com</t>
  </si>
  <si>
    <t>E008</t>
  </si>
  <si>
    <t>Meena Desai</t>
  </si>
  <si>
    <t>HR</t>
  </si>
  <si>
    <t>meena@gmail.com</t>
  </si>
  <si>
    <t>E009</t>
  </si>
  <si>
    <t>RAJ VERMA</t>
  </si>
  <si>
    <t>Sales</t>
  </si>
  <si>
    <t>raj@gmail.com</t>
  </si>
  <si>
    <t>E010</t>
  </si>
  <si>
    <t>Pooja Shah</t>
  </si>
  <si>
    <t>pooja@gmail.com</t>
  </si>
  <si>
    <t>E011</t>
  </si>
  <si>
    <t>Vikas Patel</t>
  </si>
  <si>
    <t>vikas@gmail.com</t>
  </si>
  <si>
    <t>E012</t>
  </si>
  <si>
    <t>Anjali Mehta</t>
  </si>
  <si>
    <t>anjali@gmail.com</t>
  </si>
  <si>
    <t>E013</t>
  </si>
  <si>
    <t>E014</t>
  </si>
  <si>
    <t>Sameer Khan</t>
  </si>
  <si>
    <t>MARKETING</t>
  </si>
  <si>
    <t>Surat</t>
  </si>
  <si>
    <t>sameer@gmail.com</t>
  </si>
  <si>
    <t>E015</t>
  </si>
  <si>
    <t>Fatima Sheikh</t>
  </si>
  <si>
    <t>marketing</t>
  </si>
  <si>
    <t>fatima@gmail.com</t>
  </si>
  <si>
    <t>E016</t>
  </si>
  <si>
    <t>Dev Patel</t>
  </si>
  <si>
    <t>Vadodara</t>
  </si>
  <si>
    <t>dev@gmail.com</t>
  </si>
  <si>
    <t>E017</t>
  </si>
  <si>
    <t>Nisha Shah</t>
  </si>
  <si>
    <t>nisha@gmail.com</t>
  </si>
  <si>
    <t>E018</t>
  </si>
  <si>
    <t>Arjun Mehta</t>
  </si>
  <si>
    <t>arjun@gmail.com</t>
  </si>
  <si>
    <t>E019</t>
  </si>
  <si>
    <t>Komal Patel</t>
  </si>
  <si>
    <t>komal@gmail.com</t>
  </si>
  <si>
    <t>E020</t>
  </si>
  <si>
    <t>Yash Shah</t>
  </si>
  <si>
    <t>yash@gmail.com</t>
  </si>
  <si>
    <t>trim</t>
  </si>
  <si>
    <t>proper trim</t>
  </si>
  <si>
    <t>lower trim</t>
  </si>
  <si>
    <t>Employee Code</t>
  </si>
  <si>
    <t>EMP-1023-IN</t>
  </si>
  <si>
    <t>EMP-2045-US</t>
  </si>
  <si>
    <t>EMP-3098-UK</t>
  </si>
  <si>
    <t>EMP-4512-AU</t>
  </si>
  <si>
    <t>EMP-5679-IN</t>
  </si>
  <si>
    <t>Extract Left</t>
  </si>
  <si>
    <t>Extract Right</t>
  </si>
  <si>
    <t>MID Code</t>
  </si>
  <si>
    <t>Length</t>
  </si>
  <si>
    <t>Username</t>
  </si>
  <si>
    <t>Domain</t>
  </si>
  <si>
    <t>shulkajay24081991@gmail.com</t>
  </si>
  <si>
    <t>Shahinaqureshi655@gmail.com</t>
  </si>
  <si>
    <t>rohit.mehta@gmail.com</t>
  </si>
  <si>
    <t>deepa_singh@gmail.com</t>
  </si>
  <si>
    <t>farhan_khan@hotmail.com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</si>
</sst>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Border="1"/>
    <xf numFmtId="0" fontId="4" fillId="0" borderId="1" xfId="0" applyFont="1" applyBorder="1"/>
    <xf numFmtId="0" fontId="2" fillId="3" borderId="0" xfId="0" applyFont="1" applyFill="1" applyBorder="1"/>
    <xf numFmtId="0" fontId="4" fillId="0" borderId="0" xfId="0" applyFont="1" applyBorder="1"/>
    <xf numFmtId="0" fontId="0" fillId="0" borderId="0" xfId="0" applyBorder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ohit.mehta@gmail.com" TargetMode="External"/><Relationship Id="rId2" Type="http://schemas.openxmlformats.org/officeDocument/2006/relationships/hyperlink" Target="mailto:Shahinaqureshi655@gmail.com" TargetMode="External"/><Relationship Id="rId1" Type="http://schemas.openxmlformats.org/officeDocument/2006/relationships/hyperlink" Target="mailto:shulkajay24081991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farhan_khan@hotmail.com" TargetMode="External"/><Relationship Id="rId4" Type="http://schemas.openxmlformats.org/officeDocument/2006/relationships/hyperlink" Target="mailto:deepa_sin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37F7-6420-4964-BC8F-711DAED31E98}">
  <dimension ref="A1:C6"/>
  <sheetViews>
    <sheetView tabSelected="1" workbookViewId="0">
      <selection activeCell="F6" sqref="F6"/>
    </sheetView>
  </sheetViews>
  <sheetFormatPr defaultRowHeight="15" x14ac:dyDescent="0.25"/>
  <cols>
    <col min="1" max="1" width="16.140625" customWidth="1"/>
    <col min="2" max="2" width="14.7109375" customWidth="1"/>
    <col min="3" max="3" width="21.140625" customWidth="1"/>
  </cols>
  <sheetData>
    <row r="1" spans="1:3" ht="21" x14ac:dyDescent="0.35">
      <c r="A1" s="2" t="s">
        <v>0</v>
      </c>
      <c r="B1" s="2" t="s">
        <v>1</v>
      </c>
      <c r="C1" s="2" t="s">
        <v>2</v>
      </c>
    </row>
    <row r="2" spans="1:3" ht="18.75" x14ac:dyDescent="0.3">
      <c r="A2" s="4" t="s">
        <v>3</v>
      </c>
      <c r="B2" s="4" t="s">
        <v>4</v>
      </c>
      <c r="C2" s="4" t="str">
        <f>_xlfn.CONCAT(A2,B2)</f>
        <v>AmanSharma</v>
      </c>
    </row>
    <row r="3" spans="1:3" ht="18.75" x14ac:dyDescent="0.3">
      <c r="A3" s="4" t="s">
        <v>5</v>
      </c>
      <c r="B3" s="4" t="s">
        <v>6</v>
      </c>
      <c r="C3" s="4" t="str">
        <f>_xlfn.CONCAT(A3,B3)</f>
        <v>NehaVerma</v>
      </c>
    </row>
    <row r="4" spans="1:3" ht="18.75" x14ac:dyDescent="0.3">
      <c r="A4" s="4" t="s">
        <v>7</v>
      </c>
      <c r="B4" s="4" t="s">
        <v>8</v>
      </c>
      <c r="C4" s="4" t="str">
        <f>_xlfn.CONCAT(A4,B4)</f>
        <v>RohitMehta</v>
      </c>
    </row>
    <row r="5" spans="1:3" ht="18.75" x14ac:dyDescent="0.3">
      <c r="A5" s="4" t="s">
        <v>9</v>
      </c>
      <c r="B5" s="4" t="s">
        <v>10</v>
      </c>
      <c r="C5" s="4" t="str">
        <f>_xlfn.CONCAT(A5,B5)</f>
        <v>DeepaSingh</v>
      </c>
    </row>
    <row r="6" spans="1:3" ht="18.75" x14ac:dyDescent="0.3">
      <c r="A6" s="4" t="s">
        <v>11</v>
      </c>
      <c r="B6" s="4" t="s">
        <v>12</v>
      </c>
      <c r="C6" s="4" t="str">
        <f>_xlfn.CONCAT(A6,B6)</f>
        <v>FarhanKhan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7AFD-AA47-4192-8ACF-B952254483D9}">
  <dimension ref="A1:S21"/>
  <sheetViews>
    <sheetView topLeftCell="C1" zoomScale="78" zoomScaleNormal="78" workbookViewId="0">
      <selection activeCell="H4" sqref="H4"/>
    </sheetView>
  </sheetViews>
  <sheetFormatPr defaultRowHeight="15" x14ac:dyDescent="0.25"/>
  <cols>
    <col min="1" max="1" width="11" customWidth="1"/>
    <col min="2" max="2" width="18.42578125" customWidth="1"/>
    <col min="3" max="3" width="12.7109375" customWidth="1"/>
    <col min="4" max="4" width="13.42578125" customWidth="1"/>
    <col min="5" max="5" width="19.5703125" customWidth="1"/>
    <col min="6" max="6" width="10" customWidth="1"/>
    <col min="7" max="7" width="15.7109375" customWidth="1"/>
    <col min="11" max="11" width="12.7109375" customWidth="1"/>
    <col min="12" max="12" width="11.5703125" customWidth="1"/>
    <col min="13" max="13" width="14.140625" customWidth="1"/>
    <col min="14" max="14" width="14.85546875" customWidth="1"/>
    <col min="15" max="15" width="13.7109375" customWidth="1"/>
    <col min="16" max="16" width="14.85546875" customWidth="1"/>
    <col min="17" max="17" width="20.28515625" customWidth="1"/>
    <col min="18" max="18" width="10" customWidth="1"/>
    <col min="19" max="19" width="14.140625" customWidth="1"/>
  </cols>
  <sheetData>
    <row r="1" spans="1:19" ht="31.5" x14ac:dyDescent="0.25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J1" s="8"/>
      <c r="K1" s="8" t="s">
        <v>95</v>
      </c>
      <c r="L1" s="8" t="s">
        <v>95</v>
      </c>
      <c r="M1" s="8" t="s">
        <v>95</v>
      </c>
      <c r="N1" s="8" t="s">
        <v>96</v>
      </c>
      <c r="O1" s="8" t="s">
        <v>96</v>
      </c>
      <c r="P1" s="8" t="s">
        <v>96</v>
      </c>
      <c r="Q1" s="8" t="s">
        <v>97</v>
      </c>
      <c r="R1" s="8" t="s">
        <v>18</v>
      </c>
      <c r="S1" s="8" t="s">
        <v>19</v>
      </c>
    </row>
    <row r="2" spans="1:19" ht="15.75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>
        <v>25000</v>
      </c>
      <c r="G2" s="9">
        <v>44941</v>
      </c>
      <c r="J2" s="9" t="s">
        <v>20</v>
      </c>
      <c r="K2" s="9" t="str">
        <f>TRIM(B2)</f>
        <v>rahul shah</v>
      </c>
      <c r="L2" s="9" t="str">
        <f>TRIM(C2)</f>
        <v>sales</v>
      </c>
      <c r="M2" s="9" t="str">
        <f>TRIM(D2)</f>
        <v>Ahmedabad</v>
      </c>
      <c r="N2" s="9" t="str">
        <f>PROPER(TRIM(B2))</f>
        <v>Rahul Shah</v>
      </c>
      <c r="O2" s="9" t="str">
        <f>PROPER(TRIM(C2))</f>
        <v>Sales</v>
      </c>
      <c r="P2" s="9" t="str">
        <f>PROPER(TRIM(D2))</f>
        <v>Ahmedabad</v>
      </c>
      <c r="Q2" s="9" t="str">
        <f>LOWER(TRIM(E2))</f>
        <v>rahul@gmail.com</v>
      </c>
      <c r="R2" s="9">
        <v>25000</v>
      </c>
      <c r="S2" s="9">
        <v>44941</v>
      </c>
    </row>
    <row r="3" spans="1:19" ht="15.75" x14ac:dyDescent="0.25">
      <c r="A3" s="9" t="s">
        <v>25</v>
      </c>
      <c r="B3" s="9" t="s">
        <v>26</v>
      </c>
      <c r="C3" s="9" t="s">
        <v>27</v>
      </c>
      <c r="D3" s="9" t="s">
        <v>28</v>
      </c>
      <c r="E3" s="9" t="s">
        <v>29</v>
      </c>
      <c r="F3" s="9">
        <v>28000</v>
      </c>
      <c r="G3" s="9">
        <v>44977</v>
      </c>
      <c r="J3" s="9" t="s">
        <v>25</v>
      </c>
      <c r="K3" s="9" t="str">
        <f t="shared" ref="K3:K21" si="0">TRIM(B3)</f>
        <v>Priya Patel</v>
      </c>
      <c r="L3" s="9" t="str">
        <f t="shared" ref="L3:L21" si="1">TRIM(C3)</f>
        <v>SALES</v>
      </c>
      <c r="M3" s="9" t="str">
        <f t="shared" ref="M3:M21" si="2">TRIM(D3)</f>
        <v>ahmedabad</v>
      </c>
      <c r="N3" s="9" t="str">
        <f>PROPER(TRIM(B3))</f>
        <v>Priya Patel</v>
      </c>
      <c r="O3" s="9" t="str">
        <f>PROPER(TRIM(C3))</f>
        <v>Sales</v>
      </c>
      <c r="P3" s="9" t="str">
        <f>PROPER(TRIM(D3))</f>
        <v>Ahmedabad</v>
      </c>
      <c r="Q3" s="9" t="str">
        <f>LOWER(TRIM(E3))</f>
        <v>priya@gmail.com</v>
      </c>
      <c r="R3" s="9">
        <v>28000</v>
      </c>
      <c r="S3" s="9">
        <v>44977</v>
      </c>
    </row>
    <row r="4" spans="1:19" ht="31.5" x14ac:dyDescent="0.25">
      <c r="A4" s="9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>
        <v>32000</v>
      </c>
      <c r="G4" s="9">
        <v>44990</v>
      </c>
      <c r="J4" s="9" t="s">
        <v>30</v>
      </c>
      <c r="K4" s="9" t="str">
        <f t="shared" si="0"/>
        <v>AMIT KUMAR</v>
      </c>
      <c r="L4" s="9" t="str">
        <f t="shared" si="1"/>
        <v>IT</v>
      </c>
      <c r="M4" s="9" t="str">
        <f t="shared" si="2"/>
        <v>Mumbai</v>
      </c>
      <c r="N4" s="9" t="str">
        <f>PROPER(TRIM(B4))</f>
        <v>Amit Kumar</v>
      </c>
      <c r="O4" s="9" t="str">
        <f>PROPER(TRIM(C4))</f>
        <v>It</v>
      </c>
      <c r="P4" s="9" t="str">
        <f>PROPER(TRIM(D4))</f>
        <v>Mumbai</v>
      </c>
      <c r="Q4" s="9" t="str">
        <f>LOWER(TRIM(E4))</f>
        <v>amit@gmail.com</v>
      </c>
      <c r="R4" s="9">
        <v>32000</v>
      </c>
      <c r="S4" s="9">
        <v>44990</v>
      </c>
    </row>
    <row r="5" spans="1:19" ht="15.75" x14ac:dyDescent="0.25">
      <c r="A5" s="9" t="s">
        <v>35</v>
      </c>
      <c r="B5" s="9" t="s">
        <v>36</v>
      </c>
      <c r="C5" s="9" t="s">
        <v>37</v>
      </c>
      <c r="D5" s="9" t="s">
        <v>33</v>
      </c>
      <c r="E5" s="9" t="s">
        <v>38</v>
      </c>
      <c r="F5" s="9">
        <v>30000</v>
      </c>
      <c r="G5" s="9">
        <v>44995</v>
      </c>
      <c r="J5" s="9" t="s">
        <v>35</v>
      </c>
      <c r="K5" s="9" t="str">
        <f t="shared" si="0"/>
        <v>neha joshi</v>
      </c>
      <c r="L5" s="9" t="str">
        <f t="shared" si="1"/>
        <v>hr</v>
      </c>
      <c r="M5" s="9" t="str">
        <f t="shared" si="2"/>
        <v>Mumbai</v>
      </c>
      <c r="N5" s="9" t="str">
        <f>PROPER(TRIM(B5))</f>
        <v>Neha Joshi</v>
      </c>
      <c r="O5" s="9" t="str">
        <f>PROPER(TRIM(C5))</f>
        <v>Hr</v>
      </c>
      <c r="P5" s="9" t="str">
        <f>PROPER(TRIM(D5))</f>
        <v>Mumbai</v>
      </c>
      <c r="Q5" s="9" t="str">
        <f>LOWER(TRIM(E5))</f>
        <v>neha@gmail.com</v>
      </c>
      <c r="R5" s="9">
        <v>30000</v>
      </c>
      <c r="S5" s="9">
        <v>44995</v>
      </c>
    </row>
    <row r="6" spans="1:19" ht="31.5" x14ac:dyDescent="0.25">
      <c r="A6" s="9" t="s">
        <v>39</v>
      </c>
      <c r="B6" s="9" t="s">
        <v>40</v>
      </c>
      <c r="C6" s="9" t="s">
        <v>41</v>
      </c>
      <c r="D6" s="9" t="s">
        <v>42</v>
      </c>
      <c r="E6" s="9" t="s">
        <v>43</v>
      </c>
      <c r="F6" s="9">
        <v>35000</v>
      </c>
      <c r="G6" s="9">
        <v>45041</v>
      </c>
      <c r="J6" s="9" t="s">
        <v>39</v>
      </c>
      <c r="K6" s="9" t="str">
        <f t="shared" si="0"/>
        <v>Rohan Mehta</v>
      </c>
      <c r="L6" s="9" t="str">
        <f t="shared" si="1"/>
        <v>Finance</v>
      </c>
      <c r="M6" s="9" t="str">
        <f t="shared" si="2"/>
        <v>DELHI</v>
      </c>
      <c r="N6" s="9" t="str">
        <f t="shared" ref="N6:N21" si="3">PROPER(TRIM(B6))</f>
        <v>Rohan Mehta</v>
      </c>
      <c r="O6" s="9" t="str">
        <f>PROPER(TRIM(C6))</f>
        <v>Finance</v>
      </c>
      <c r="P6" s="9" t="str">
        <f>PROPER(TRIM(D6))</f>
        <v>Delhi</v>
      </c>
      <c r="Q6" s="9" t="str">
        <f>LOWER(TRIM(E6))</f>
        <v>rohan@gmail.com</v>
      </c>
      <c r="R6" s="9">
        <v>35000</v>
      </c>
      <c r="S6" s="9">
        <v>45041</v>
      </c>
    </row>
    <row r="7" spans="1:19" ht="15.75" x14ac:dyDescent="0.25">
      <c r="A7" s="9" t="s">
        <v>44</v>
      </c>
      <c r="B7" s="9" t="s">
        <v>45</v>
      </c>
      <c r="C7" s="9" t="s">
        <v>46</v>
      </c>
      <c r="D7" s="9" t="s">
        <v>47</v>
      </c>
      <c r="E7" s="9" t="s">
        <v>48</v>
      </c>
      <c r="F7" s="9">
        <v>33000</v>
      </c>
      <c r="G7" s="9">
        <v>45058</v>
      </c>
      <c r="J7" s="9" t="s">
        <v>44</v>
      </c>
      <c r="K7" s="9" t="str">
        <f t="shared" si="0"/>
        <v>Sneha Shah</v>
      </c>
      <c r="L7" s="9" t="str">
        <f t="shared" si="1"/>
        <v>finance</v>
      </c>
      <c r="M7" s="9" t="str">
        <f t="shared" si="2"/>
        <v>Delhi</v>
      </c>
      <c r="N7" s="9" t="str">
        <f t="shared" si="3"/>
        <v>Sneha Shah</v>
      </c>
      <c r="O7" s="9" t="str">
        <f>PROPER(TRIM(C7))</f>
        <v>Finance</v>
      </c>
      <c r="P7" s="9" t="str">
        <f>PROPER(TRIM(D7))</f>
        <v>Delhi</v>
      </c>
      <c r="Q7" s="9" t="str">
        <f>LOWER(TRIM(E7))</f>
        <v>sneha@gmail.com</v>
      </c>
      <c r="R7" s="9">
        <v>33000</v>
      </c>
      <c r="S7" s="9">
        <v>45058</v>
      </c>
    </row>
    <row r="8" spans="1:19" ht="15.75" x14ac:dyDescent="0.25">
      <c r="A8" s="9" t="s">
        <v>49</v>
      </c>
      <c r="B8" s="9" t="s">
        <v>50</v>
      </c>
      <c r="C8" s="9" t="s">
        <v>32</v>
      </c>
      <c r="D8" s="9" t="s">
        <v>23</v>
      </c>
      <c r="E8" s="9" t="s">
        <v>51</v>
      </c>
      <c r="F8" s="9">
        <v>40000</v>
      </c>
      <c r="G8" s="9">
        <v>45064</v>
      </c>
      <c r="J8" s="9" t="s">
        <v>49</v>
      </c>
      <c r="K8" s="9" t="str">
        <f t="shared" si="0"/>
        <v>karan patel</v>
      </c>
      <c r="L8" s="9" t="str">
        <f t="shared" si="1"/>
        <v>IT</v>
      </c>
      <c r="M8" s="9" t="str">
        <f t="shared" si="2"/>
        <v>Ahmedabad</v>
      </c>
      <c r="N8" s="9" t="str">
        <f t="shared" si="3"/>
        <v>Karan Patel</v>
      </c>
      <c r="O8" s="9" t="str">
        <f>PROPER(TRIM(C8))</f>
        <v>It</v>
      </c>
      <c r="P8" s="9" t="str">
        <f t="shared" ref="P8:P21" si="4">PROPER(TRIM(D8))</f>
        <v>Ahmedabad</v>
      </c>
      <c r="Q8" s="9" t="str">
        <f>LOWER(TRIM(E8))</f>
        <v>karan@gmail.com</v>
      </c>
      <c r="R8" s="9">
        <v>40000</v>
      </c>
      <c r="S8" s="9">
        <v>45064</v>
      </c>
    </row>
    <row r="9" spans="1:19" ht="31.5" x14ac:dyDescent="0.25">
      <c r="A9" s="9" t="s">
        <v>52</v>
      </c>
      <c r="B9" s="9" t="s">
        <v>53</v>
      </c>
      <c r="C9" s="9" t="s">
        <v>54</v>
      </c>
      <c r="D9" s="9" t="s">
        <v>28</v>
      </c>
      <c r="E9" s="9" t="s">
        <v>55</v>
      </c>
      <c r="F9" s="9">
        <v>29000</v>
      </c>
      <c r="G9" s="9">
        <v>45099</v>
      </c>
      <c r="J9" s="9" t="s">
        <v>52</v>
      </c>
      <c r="K9" s="9" t="str">
        <f t="shared" si="0"/>
        <v>Meena Desai</v>
      </c>
      <c r="L9" s="9" t="str">
        <f t="shared" si="1"/>
        <v>HR</v>
      </c>
      <c r="M9" s="9" t="str">
        <f t="shared" si="2"/>
        <v>ahmedabad</v>
      </c>
      <c r="N9" s="9" t="str">
        <f t="shared" si="3"/>
        <v>Meena Desai</v>
      </c>
      <c r="O9" s="9" t="str">
        <f>PROPER(TRIM(C9))</f>
        <v>Hr</v>
      </c>
      <c r="P9" s="9" t="str">
        <f t="shared" si="4"/>
        <v>Ahmedabad</v>
      </c>
      <c r="Q9" s="9" t="str">
        <f>LOWER(TRIM(E9))</f>
        <v>meena@gmail.com</v>
      </c>
      <c r="R9" s="9">
        <v>29000</v>
      </c>
      <c r="S9" s="9">
        <v>45099</v>
      </c>
    </row>
    <row r="10" spans="1:19" ht="15.75" x14ac:dyDescent="0.25">
      <c r="A10" s="9" t="s">
        <v>56</v>
      </c>
      <c r="B10" s="9" t="s">
        <v>57</v>
      </c>
      <c r="C10" s="9" t="s">
        <v>58</v>
      </c>
      <c r="D10" s="9" t="s">
        <v>33</v>
      </c>
      <c r="E10" s="9" t="s">
        <v>59</v>
      </c>
      <c r="F10" s="9">
        <v>27000</v>
      </c>
      <c r="G10" s="9">
        <v>45108</v>
      </c>
      <c r="J10" s="9" t="s">
        <v>56</v>
      </c>
      <c r="K10" s="9" t="str">
        <f t="shared" si="0"/>
        <v>RAJ VERMA</v>
      </c>
      <c r="L10" s="9" t="str">
        <f t="shared" si="1"/>
        <v>Sales</v>
      </c>
      <c r="M10" s="9" t="str">
        <f t="shared" si="2"/>
        <v>Mumbai</v>
      </c>
      <c r="N10" s="9" t="str">
        <f t="shared" si="3"/>
        <v>Raj Verma</v>
      </c>
      <c r="O10" s="9" t="str">
        <f>PROPER(TRIM(C10))</f>
        <v>Sales</v>
      </c>
      <c r="P10" s="9" t="str">
        <f t="shared" si="4"/>
        <v>Mumbai</v>
      </c>
      <c r="Q10" s="9" t="str">
        <f t="shared" ref="Q10:Q21" si="5">LOWER(TRIM(E10))</f>
        <v>raj@gmail.com</v>
      </c>
      <c r="R10" s="9">
        <v>27000</v>
      </c>
      <c r="S10" s="9">
        <v>45108</v>
      </c>
    </row>
    <row r="11" spans="1:19" ht="15.75" x14ac:dyDescent="0.25">
      <c r="A11" s="9" t="s">
        <v>60</v>
      </c>
      <c r="B11" s="9" t="s">
        <v>61</v>
      </c>
      <c r="C11" s="9" t="s">
        <v>22</v>
      </c>
      <c r="D11" s="9" t="s">
        <v>47</v>
      </c>
      <c r="E11" s="9" t="s">
        <v>62</v>
      </c>
      <c r="F11" s="9">
        <v>31000</v>
      </c>
      <c r="G11" s="9">
        <v>45122</v>
      </c>
      <c r="J11" s="9" t="s">
        <v>60</v>
      </c>
      <c r="K11" s="9" t="str">
        <f t="shared" si="0"/>
        <v>Pooja Shah</v>
      </c>
      <c r="L11" s="9" t="str">
        <f t="shared" si="1"/>
        <v>sales</v>
      </c>
      <c r="M11" s="9" t="str">
        <f t="shared" si="2"/>
        <v>Delhi</v>
      </c>
      <c r="N11" s="9" t="str">
        <f t="shared" si="3"/>
        <v>Pooja Shah</v>
      </c>
      <c r="O11" s="9" t="str">
        <f t="shared" ref="O11:O21" si="6">PROPER(TRIM(C11))</f>
        <v>Sales</v>
      </c>
      <c r="P11" s="9" t="str">
        <f t="shared" si="4"/>
        <v>Delhi</v>
      </c>
      <c r="Q11" s="9" t="str">
        <f t="shared" si="5"/>
        <v>pooja@gmail.com</v>
      </c>
      <c r="R11" s="9">
        <v>31000</v>
      </c>
      <c r="S11" s="9">
        <v>45122</v>
      </c>
    </row>
    <row r="12" spans="1:19" ht="15.75" x14ac:dyDescent="0.25">
      <c r="A12" s="9" t="s">
        <v>63</v>
      </c>
      <c r="B12" s="9" t="s">
        <v>64</v>
      </c>
      <c r="C12" s="9" t="s">
        <v>32</v>
      </c>
      <c r="D12" s="9" t="s">
        <v>23</v>
      </c>
      <c r="E12" s="9" t="s">
        <v>65</v>
      </c>
      <c r="F12" s="9">
        <v>42000</v>
      </c>
      <c r="G12" s="9">
        <v>45158</v>
      </c>
      <c r="J12" s="9" t="s">
        <v>63</v>
      </c>
      <c r="K12" s="9" t="str">
        <f t="shared" si="0"/>
        <v>Vikas Patel</v>
      </c>
      <c r="L12" s="9" t="str">
        <f t="shared" si="1"/>
        <v>IT</v>
      </c>
      <c r="M12" s="9" t="str">
        <f t="shared" si="2"/>
        <v>Ahmedabad</v>
      </c>
      <c r="N12" s="9" t="str">
        <f t="shared" si="3"/>
        <v>Vikas Patel</v>
      </c>
      <c r="O12" s="9" t="str">
        <f t="shared" si="6"/>
        <v>It</v>
      </c>
      <c r="P12" s="9" t="str">
        <f t="shared" si="4"/>
        <v>Ahmedabad</v>
      </c>
      <c r="Q12" s="9" t="str">
        <f t="shared" si="5"/>
        <v>vikas@gmail.com</v>
      </c>
      <c r="R12" s="9">
        <v>42000</v>
      </c>
      <c r="S12" s="9">
        <v>45158</v>
      </c>
    </row>
    <row r="13" spans="1:19" ht="31.5" x14ac:dyDescent="0.25">
      <c r="A13" s="9" t="s">
        <v>66</v>
      </c>
      <c r="B13" s="9" t="s">
        <v>67</v>
      </c>
      <c r="C13" s="9" t="s">
        <v>41</v>
      </c>
      <c r="D13" s="9" t="s">
        <v>47</v>
      </c>
      <c r="E13" s="9" t="s">
        <v>68</v>
      </c>
      <c r="F13" s="9">
        <v>36000</v>
      </c>
      <c r="G13" s="9">
        <v>45174</v>
      </c>
      <c r="J13" s="9" t="s">
        <v>66</v>
      </c>
      <c r="K13" s="9" t="str">
        <f t="shared" si="0"/>
        <v>Anjali Mehta</v>
      </c>
      <c r="L13" s="9" t="str">
        <f t="shared" si="1"/>
        <v>Finance</v>
      </c>
      <c r="M13" s="9" t="str">
        <f t="shared" si="2"/>
        <v>Delhi</v>
      </c>
      <c r="N13" s="9" t="str">
        <f t="shared" si="3"/>
        <v>Anjali Mehta</v>
      </c>
      <c r="O13" s="9" t="str">
        <f t="shared" si="6"/>
        <v>Finance</v>
      </c>
      <c r="P13" s="9" t="str">
        <f t="shared" si="4"/>
        <v>Delhi</v>
      </c>
      <c r="Q13" s="9" t="str">
        <f t="shared" si="5"/>
        <v>anjali@gmail.com</v>
      </c>
      <c r="R13" s="9">
        <v>36000</v>
      </c>
      <c r="S13" s="9">
        <v>45174</v>
      </c>
    </row>
    <row r="14" spans="1:19" ht="15.75" x14ac:dyDescent="0.25">
      <c r="A14" s="9" t="s">
        <v>69</v>
      </c>
      <c r="B14" s="9" t="s">
        <v>21</v>
      </c>
      <c r="C14" s="9" t="s">
        <v>22</v>
      </c>
      <c r="D14" s="9" t="s">
        <v>23</v>
      </c>
      <c r="E14" s="9" t="s">
        <v>24</v>
      </c>
      <c r="F14" s="9">
        <v>25000</v>
      </c>
      <c r="G14" s="9">
        <v>44941</v>
      </c>
      <c r="J14" s="9" t="s">
        <v>69</v>
      </c>
      <c r="K14" s="9" t="str">
        <f t="shared" si="0"/>
        <v>rahul shah</v>
      </c>
      <c r="L14" s="9" t="str">
        <f t="shared" si="1"/>
        <v>sales</v>
      </c>
      <c r="M14" s="9" t="str">
        <f t="shared" si="2"/>
        <v>Ahmedabad</v>
      </c>
      <c r="N14" s="9" t="str">
        <f t="shared" si="3"/>
        <v>Rahul Shah</v>
      </c>
      <c r="O14" s="9" t="str">
        <f t="shared" si="6"/>
        <v>Sales</v>
      </c>
      <c r="P14" s="9" t="str">
        <f t="shared" si="4"/>
        <v>Ahmedabad</v>
      </c>
      <c r="Q14" s="9" t="str">
        <f t="shared" si="5"/>
        <v>rahul@gmail.com</v>
      </c>
      <c r="R14" s="9">
        <v>25000</v>
      </c>
      <c r="S14" s="9">
        <v>44941</v>
      </c>
    </row>
    <row r="15" spans="1:19" ht="31.5" x14ac:dyDescent="0.25">
      <c r="A15" s="9" t="s">
        <v>70</v>
      </c>
      <c r="B15" s="9" t="s">
        <v>71</v>
      </c>
      <c r="C15" s="9" t="s">
        <v>72</v>
      </c>
      <c r="D15" s="9" t="s">
        <v>73</v>
      </c>
      <c r="E15" s="9" t="s">
        <v>74</v>
      </c>
      <c r="F15" s="9">
        <v>38000</v>
      </c>
      <c r="G15" s="9">
        <v>45209</v>
      </c>
      <c r="J15" s="9" t="s">
        <v>70</v>
      </c>
      <c r="K15" s="9" t="str">
        <f t="shared" si="0"/>
        <v>Sameer Khan</v>
      </c>
      <c r="L15" s="9" t="str">
        <f t="shared" si="1"/>
        <v>MARKETING</v>
      </c>
      <c r="M15" s="9" t="str">
        <f t="shared" si="2"/>
        <v>Surat</v>
      </c>
      <c r="N15" s="9" t="str">
        <f t="shared" si="3"/>
        <v>Sameer Khan</v>
      </c>
      <c r="O15" s="9" t="str">
        <f t="shared" si="6"/>
        <v>Marketing</v>
      </c>
      <c r="P15" s="9" t="str">
        <f t="shared" si="4"/>
        <v>Surat</v>
      </c>
      <c r="Q15" s="9" t="str">
        <f t="shared" si="5"/>
        <v>sameer@gmail.com</v>
      </c>
      <c r="R15" s="9">
        <v>38000</v>
      </c>
      <c r="S15" s="9">
        <v>45209</v>
      </c>
    </row>
    <row r="16" spans="1:19" ht="31.5" x14ac:dyDescent="0.25">
      <c r="A16" s="9" t="s">
        <v>75</v>
      </c>
      <c r="B16" s="9" t="s">
        <v>76</v>
      </c>
      <c r="C16" s="9" t="s">
        <v>77</v>
      </c>
      <c r="D16" s="9" t="s">
        <v>73</v>
      </c>
      <c r="E16" s="9" t="s">
        <v>78</v>
      </c>
      <c r="F16" s="9">
        <v>37000</v>
      </c>
      <c r="G16" s="9">
        <v>45214</v>
      </c>
      <c r="J16" s="9" t="s">
        <v>75</v>
      </c>
      <c r="K16" s="9" t="str">
        <f>TRIM(B16)</f>
        <v>Fatima Sheikh</v>
      </c>
      <c r="L16" s="9" t="str">
        <f t="shared" si="1"/>
        <v>marketing</v>
      </c>
      <c r="M16" s="9" t="str">
        <f t="shared" si="2"/>
        <v>Surat</v>
      </c>
      <c r="N16" s="9" t="str">
        <f t="shared" si="3"/>
        <v>Fatima Sheikh</v>
      </c>
      <c r="O16" s="9" t="str">
        <f t="shared" si="6"/>
        <v>Marketing</v>
      </c>
      <c r="P16" s="9" t="str">
        <f t="shared" si="4"/>
        <v>Surat</v>
      </c>
      <c r="Q16" s="9" t="str">
        <f t="shared" si="5"/>
        <v>fatima@gmail.com</v>
      </c>
      <c r="R16" s="9">
        <v>37000</v>
      </c>
      <c r="S16" s="9">
        <v>45214</v>
      </c>
    </row>
    <row r="17" spans="1:19" ht="15.75" x14ac:dyDescent="0.25">
      <c r="A17" s="9" t="s">
        <v>79</v>
      </c>
      <c r="B17" s="9" t="s">
        <v>80</v>
      </c>
      <c r="C17" s="9" t="s">
        <v>32</v>
      </c>
      <c r="D17" s="9" t="s">
        <v>81</v>
      </c>
      <c r="E17" s="9" t="s">
        <v>82</v>
      </c>
      <c r="F17" s="9">
        <v>45000</v>
      </c>
      <c r="G17" s="9">
        <v>45231</v>
      </c>
      <c r="J17" s="9" t="s">
        <v>79</v>
      </c>
      <c r="K17" s="9" t="str">
        <f t="shared" si="0"/>
        <v>Dev Patel</v>
      </c>
      <c r="L17" s="9" t="str">
        <f t="shared" si="1"/>
        <v>IT</v>
      </c>
      <c r="M17" s="9" t="str">
        <f t="shared" si="2"/>
        <v>Vadodara</v>
      </c>
      <c r="N17" s="9" t="str">
        <f t="shared" si="3"/>
        <v>Dev Patel</v>
      </c>
      <c r="O17" s="9" t="str">
        <f t="shared" si="6"/>
        <v>It</v>
      </c>
      <c r="P17" s="9" t="str">
        <f t="shared" si="4"/>
        <v>Vadodara</v>
      </c>
      <c r="Q17" s="9" t="str">
        <f t="shared" si="5"/>
        <v>dev@gmail.com</v>
      </c>
      <c r="R17" s="9">
        <v>45000</v>
      </c>
      <c r="S17" s="9">
        <v>45231</v>
      </c>
    </row>
    <row r="18" spans="1:19" ht="15.75" x14ac:dyDescent="0.25">
      <c r="A18" s="9" t="s">
        <v>83</v>
      </c>
      <c r="B18" s="9" t="s">
        <v>84</v>
      </c>
      <c r="C18" s="9" t="s">
        <v>54</v>
      </c>
      <c r="D18" s="9" t="s">
        <v>81</v>
      </c>
      <c r="E18" s="9" t="s">
        <v>85</v>
      </c>
      <c r="F18" s="9">
        <v>31000</v>
      </c>
      <c r="G18" s="9">
        <v>45242</v>
      </c>
      <c r="J18" s="9" t="s">
        <v>83</v>
      </c>
      <c r="K18" s="9" t="str">
        <f t="shared" si="0"/>
        <v>Nisha Shah</v>
      </c>
      <c r="L18" s="9" t="str">
        <f t="shared" si="1"/>
        <v>HR</v>
      </c>
      <c r="M18" s="9" t="str">
        <f t="shared" si="2"/>
        <v>Vadodara</v>
      </c>
      <c r="N18" s="9" t="str">
        <f t="shared" si="3"/>
        <v>Nisha Shah</v>
      </c>
      <c r="O18" s="9" t="str">
        <f t="shared" si="6"/>
        <v>Hr</v>
      </c>
      <c r="P18" s="9" t="str">
        <f t="shared" si="4"/>
        <v>Vadodara</v>
      </c>
      <c r="Q18" s="9" t="str">
        <f t="shared" si="5"/>
        <v>nisha@gmail.com</v>
      </c>
      <c r="R18" s="9">
        <v>31000</v>
      </c>
      <c r="S18" s="9">
        <v>45242</v>
      </c>
    </row>
    <row r="19" spans="1:19" ht="15.75" x14ac:dyDescent="0.25">
      <c r="A19" s="9" t="s">
        <v>86</v>
      </c>
      <c r="B19" s="9" t="s">
        <v>87</v>
      </c>
      <c r="C19" s="9" t="s">
        <v>41</v>
      </c>
      <c r="D19" s="9" t="s">
        <v>47</v>
      </c>
      <c r="E19" s="9" t="s">
        <v>88</v>
      </c>
      <c r="F19" s="9">
        <v>34000</v>
      </c>
      <c r="G19" s="9">
        <v>45250</v>
      </c>
      <c r="J19" s="9" t="s">
        <v>86</v>
      </c>
      <c r="K19" s="9" t="str">
        <f t="shared" si="0"/>
        <v>Arjun Mehta</v>
      </c>
      <c r="L19" s="9" t="str">
        <f t="shared" si="1"/>
        <v>Finance</v>
      </c>
      <c r="M19" s="9" t="str">
        <f t="shared" si="2"/>
        <v>Delhi</v>
      </c>
      <c r="N19" s="9" t="str">
        <f t="shared" si="3"/>
        <v>Arjun Mehta</v>
      </c>
      <c r="O19" s="9" t="str">
        <f t="shared" si="6"/>
        <v>Finance</v>
      </c>
      <c r="P19" s="9" t="str">
        <f t="shared" si="4"/>
        <v>Delhi</v>
      </c>
      <c r="Q19" s="9" t="str">
        <f t="shared" si="5"/>
        <v>arjun@gmail.com</v>
      </c>
      <c r="R19" s="9">
        <v>34000</v>
      </c>
      <c r="S19" s="9">
        <v>45250</v>
      </c>
    </row>
    <row r="20" spans="1:19" ht="15.75" x14ac:dyDescent="0.25">
      <c r="A20" s="9" t="s">
        <v>89</v>
      </c>
      <c r="B20" s="9" t="s">
        <v>90</v>
      </c>
      <c r="C20" s="9" t="s">
        <v>22</v>
      </c>
      <c r="D20" s="9" t="s">
        <v>23</v>
      </c>
      <c r="E20" s="9" t="s">
        <v>91</v>
      </c>
      <c r="F20" s="9">
        <v>26000</v>
      </c>
      <c r="G20" s="9">
        <v>45261</v>
      </c>
      <c r="J20" s="9" t="s">
        <v>89</v>
      </c>
      <c r="K20" s="9" t="str">
        <f t="shared" si="0"/>
        <v>Komal Patel</v>
      </c>
      <c r="L20" s="9" t="str">
        <f t="shared" si="1"/>
        <v>sales</v>
      </c>
      <c r="M20" s="9" t="str">
        <f t="shared" si="2"/>
        <v>Ahmedabad</v>
      </c>
      <c r="N20" s="9" t="str">
        <f t="shared" si="3"/>
        <v>Komal Patel</v>
      </c>
      <c r="O20" s="9" t="str">
        <f t="shared" si="6"/>
        <v>Sales</v>
      </c>
      <c r="P20" s="9" t="str">
        <f t="shared" si="4"/>
        <v>Ahmedabad</v>
      </c>
      <c r="Q20" s="9" t="str">
        <f t="shared" si="5"/>
        <v>komal@gmail.com</v>
      </c>
      <c r="R20" s="9">
        <v>26000</v>
      </c>
      <c r="S20" s="9">
        <v>45261</v>
      </c>
    </row>
    <row r="21" spans="1:19" ht="15.75" x14ac:dyDescent="0.25">
      <c r="A21" s="9" t="s">
        <v>92</v>
      </c>
      <c r="B21" s="9" t="s">
        <v>93</v>
      </c>
      <c r="C21" s="9" t="s">
        <v>32</v>
      </c>
      <c r="D21" s="9" t="s">
        <v>33</v>
      </c>
      <c r="E21" s="9" t="s">
        <v>94</v>
      </c>
      <c r="F21" s="9">
        <v>41000</v>
      </c>
      <c r="G21" s="9">
        <v>45265</v>
      </c>
      <c r="J21" s="9" t="s">
        <v>92</v>
      </c>
      <c r="K21" s="9" t="str">
        <f t="shared" si="0"/>
        <v>Yash Shah</v>
      </c>
      <c r="L21" s="9" t="str">
        <f t="shared" si="1"/>
        <v>IT</v>
      </c>
      <c r="M21" s="9" t="str">
        <f t="shared" si="2"/>
        <v>Mumbai</v>
      </c>
      <c r="N21" s="9" t="str">
        <f t="shared" si="3"/>
        <v>Yash Shah</v>
      </c>
      <c r="O21" s="9" t="str">
        <f t="shared" si="6"/>
        <v>It</v>
      </c>
      <c r="P21" s="9" t="str">
        <f t="shared" si="4"/>
        <v>Mumbai</v>
      </c>
      <c r="Q21" s="9" t="str">
        <f t="shared" si="5"/>
        <v>yash@gmail.com</v>
      </c>
      <c r="R21" s="9">
        <v>41000</v>
      </c>
      <c r="S21" s="9">
        <v>45265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6460-08CB-4FD9-A2A7-EAB5ED642EE9}">
  <dimension ref="A1:E6"/>
  <sheetViews>
    <sheetView workbookViewId="0">
      <selection activeCell="F13" sqref="F13"/>
    </sheetView>
  </sheetViews>
  <sheetFormatPr defaultRowHeight="15" x14ac:dyDescent="0.25"/>
  <cols>
    <col min="1" max="1" width="15.7109375" customWidth="1"/>
    <col min="2" max="2" width="10.7109375" customWidth="1"/>
    <col min="3" max="3" width="12.140625" customWidth="1"/>
    <col min="4" max="4" width="11.42578125" customWidth="1"/>
    <col min="5" max="5" width="11" customWidth="1"/>
  </cols>
  <sheetData>
    <row r="1" spans="1:5" x14ac:dyDescent="0.25">
      <c r="A1" s="1" t="s">
        <v>98</v>
      </c>
      <c r="B1" s="1" t="s">
        <v>104</v>
      </c>
      <c r="C1" s="1" t="s">
        <v>105</v>
      </c>
      <c r="D1" s="1" t="s">
        <v>106</v>
      </c>
      <c r="E1" s="1" t="s">
        <v>107</v>
      </c>
    </row>
    <row r="2" spans="1:5" x14ac:dyDescent="0.25">
      <c r="A2" s="3" t="s">
        <v>99</v>
      </c>
      <c r="B2" t="str">
        <f>LEFT(A2,3)</f>
        <v>EMP</v>
      </c>
      <c r="C2" t="str">
        <f>RIGHT(A2,2)</f>
        <v>IN</v>
      </c>
      <c r="D2" t="str">
        <f>MID(A2,5,4)</f>
        <v>1023</v>
      </c>
      <c r="E2">
        <f>LEN(A2)</f>
        <v>11</v>
      </c>
    </row>
    <row r="3" spans="1:5" x14ac:dyDescent="0.25">
      <c r="A3" s="3" t="s">
        <v>100</v>
      </c>
      <c r="B3" t="str">
        <f>LEFT(A3,3)</f>
        <v>EMP</v>
      </c>
      <c r="C3" t="str">
        <f>RIGHT(A3,2)</f>
        <v>US</v>
      </c>
      <c r="D3" t="str">
        <f>MID(A3,5,4)</f>
        <v>2045</v>
      </c>
      <c r="E3">
        <f>LEN(A3)</f>
        <v>11</v>
      </c>
    </row>
    <row r="4" spans="1:5" x14ac:dyDescent="0.25">
      <c r="A4" s="3" t="s">
        <v>101</v>
      </c>
      <c r="B4" t="str">
        <f>LEFT(A4,3)</f>
        <v>EMP</v>
      </c>
      <c r="C4" t="str">
        <f>RIGHT(A4,2)</f>
        <v>UK</v>
      </c>
      <c r="D4" t="str">
        <f>MID(A4,5,4)</f>
        <v>3098</v>
      </c>
      <c r="E4">
        <f>LEN(A4)</f>
        <v>11</v>
      </c>
    </row>
    <row r="5" spans="1:5" x14ac:dyDescent="0.25">
      <c r="A5" s="3" t="s">
        <v>102</v>
      </c>
      <c r="B5" t="str">
        <f>LEFT(A5,3)</f>
        <v>EMP</v>
      </c>
      <c r="C5" t="str">
        <f>RIGHT(A5,2)</f>
        <v>AU</v>
      </c>
      <c r="D5" t="str">
        <f>MID(A5,5,4)</f>
        <v>4512</v>
      </c>
      <c r="E5">
        <f>LEN(A5)</f>
        <v>11</v>
      </c>
    </row>
    <row r="6" spans="1:5" x14ac:dyDescent="0.25">
      <c r="A6" s="3" t="s">
        <v>103</v>
      </c>
      <c r="B6" t="str">
        <f>LEFT(A6,3)</f>
        <v>EMP</v>
      </c>
      <c r="C6" t="str">
        <f>RIGHT(A6,2)</f>
        <v>IN</v>
      </c>
      <c r="D6" t="str">
        <f>MID(A6,5,4)</f>
        <v>5679</v>
      </c>
      <c r="E6">
        <f>LEN(A6)</f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26F1-7622-4817-84FB-B503699CB2B6}">
  <dimension ref="A1:C11"/>
  <sheetViews>
    <sheetView workbookViewId="0">
      <selection activeCell="C12" sqref="C12"/>
    </sheetView>
  </sheetViews>
  <sheetFormatPr defaultRowHeight="15" x14ac:dyDescent="0.25"/>
  <cols>
    <col min="1" max="1" width="29.140625" customWidth="1"/>
    <col min="2" max="2" width="18.28515625" customWidth="1"/>
    <col min="3" max="3" width="22.7109375" customWidth="1"/>
  </cols>
  <sheetData>
    <row r="1" spans="1:3" ht="21" x14ac:dyDescent="0.35">
      <c r="A1" s="5"/>
      <c r="B1" s="5"/>
      <c r="C1" s="5"/>
    </row>
    <row r="2" spans="1:3" ht="18.75" x14ac:dyDescent="0.3">
      <c r="A2" s="11"/>
      <c r="B2" s="11"/>
      <c r="C2" s="6"/>
    </row>
    <row r="3" spans="1:3" x14ac:dyDescent="0.25">
      <c r="A3" s="10" t="s">
        <v>17</v>
      </c>
      <c r="B3" s="10" t="s">
        <v>108</v>
      </c>
      <c r="C3" s="10" t="s">
        <v>109</v>
      </c>
    </row>
    <row r="4" spans="1:3" ht="18.75" x14ac:dyDescent="0.3">
      <c r="A4" s="12" t="s">
        <v>110</v>
      </c>
      <c r="B4" t="str">
        <f>LEFT(A4,FIND("@",A4))</f>
        <v>shulkajay24081991@</v>
      </c>
      <c r="C4" s="6" t="str">
        <f>RIGHT(A4,LEN(A4)-FIND("@",A4))</f>
        <v>gmail.com</v>
      </c>
    </row>
    <row r="5" spans="1:3" ht="18.75" x14ac:dyDescent="0.3">
      <c r="A5" s="12" t="s">
        <v>111</v>
      </c>
      <c r="B5" t="str">
        <f>LEFT(A5,FIND("@",A5)-1)</f>
        <v>Shahinaqureshi655</v>
      </c>
      <c r="C5" s="6" t="str">
        <f>RIGHT(A5,LEN(A5)-FIND("@",A5))</f>
        <v>gmail.com</v>
      </c>
    </row>
    <row r="6" spans="1:3" ht="18.75" x14ac:dyDescent="0.3">
      <c r="A6" s="12" t="s">
        <v>112</v>
      </c>
      <c r="B6" t="str">
        <f>LEFT(A6,FIND("@",A6)-1)</f>
        <v>rohit.mehta</v>
      </c>
      <c r="C6" s="6" t="str">
        <f>RIGHT(A6,LEN(A6)-FIND("@",A6))</f>
        <v>gmail.com</v>
      </c>
    </row>
    <row r="7" spans="1:3" x14ac:dyDescent="0.25">
      <c r="A7" s="12" t="s">
        <v>113</v>
      </c>
      <c r="B7" t="str">
        <f>LEFT(A7,FIND("@",A7)-1)</f>
        <v>deepa_singh</v>
      </c>
      <c r="C7" s="7"/>
    </row>
    <row r="8" spans="1:3" x14ac:dyDescent="0.25">
      <c r="A8" s="12" t="s">
        <v>114</v>
      </c>
      <c r="B8" t="str">
        <f>LEFT(A8,FIND("@",A8)-1)</f>
        <v>farhan_khan</v>
      </c>
    </row>
    <row r="10" spans="1:3" x14ac:dyDescent="0.25">
      <c r="B10" t="str">
        <f>LEFT(A4,FIND("@",A4)-1)</f>
        <v>shulkajay24081991</v>
      </c>
      <c r="C10" t="str">
        <f>RIGHT(A4,LEN(A4)-FIND("@",A4))</f>
        <v>gmail.com</v>
      </c>
    </row>
    <row r="11" spans="1:3" x14ac:dyDescent="0.25">
      <c r="C11" t="str">
        <f>LEFT(A4,LEN(A4)-FIND("@",A4))</f>
        <v>shulkajay</v>
      </c>
    </row>
  </sheetData>
  <hyperlinks>
    <hyperlink ref="A4" r:id="rId1" xr:uid="{FC287569-2B50-4A64-B935-B0C3D703F4C4}"/>
    <hyperlink ref="A5" r:id="rId2" xr:uid="{7DC8BF57-F85D-4CBC-A7F6-1688CF64FB1E}"/>
    <hyperlink ref="A6" r:id="rId3" xr:uid="{8CB8EA14-4308-4DAC-8BDE-373937E08535}"/>
    <hyperlink ref="A7" r:id="rId4" xr:uid="{D25D4879-093E-4B2B-91C7-5F29F5ABE3D9}"/>
    <hyperlink ref="A8" r:id="rId5" xr:uid="{EE72CFE6-5F3A-4B8D-A572-7FE39D43AB44}"/>
  </hyperlinks>
  <pageMargins left="0.7" right="0.7" top="0.75" bottom="0.75" header="0.3" footer="0.3"/>
  <pageSetup paperSize="145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concet_concante</vt:lpstr>
      <vt:lpstr>trim</vt:lpstr>
      <vt:lpstr>left_right_mid_lens</vt:lpstr>
      <vt:lpstr>email_split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Library1</dc:creator>
  <cp:lastModifiedBy>Library1</cp:lastModifiedBy>
  <dcterms:created xsi:type="dcterms:W3CDTF">2026-08-09T10:04:44Z</dcterms:created>
  <dcterms:modified xsi:type="dcterms:W3CDTF">2026-08-09T11:26:10Z</dcterms:modified>
</cp:coreProperties>
</file>